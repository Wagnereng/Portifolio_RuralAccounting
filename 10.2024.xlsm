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Z:\CONFERÊNCIA - GERAL - GRUPO CLEANFAST\0 - FECHAMENTO VT_VR_ MENSAL\1º - LOTE 01\LOTE 01 - DIA\"/>
    </mc:Choice>
  </mc:AlternateContent>
  <xr:revisionPtr revIDLastSave="0" documentId="13_ncr:1_{C16EFD14-074A-408B-AF82-55F5CEB6010B}" xr6:coauthVersionLast="47" xr6:coauthVersionMax="47" xr10:uidLastSave="{00000000-0000-0000-0000-000000000000}"/>
  <bookViews>
    <workbookView xWindow="-28920" yWindow="-120" windowWidth="29040" windowHeight="15840" xr2:uid="{01D0B210-AF09-4BD4-8578-ECDF2F36E9C3}"/>
  </bookViews>
  <sheets>
    <sheet name="Funcionários Ativos - Lote 01 D" sheetId="6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6" l="1"/>
  <c r="I3" i="6" s="1"/>
  <c r="G4" i="6"/>
  <c r="I4" i="6" s="1"/>
  <c r="G5" i="6"/>
  <c r="I5" i="6" s="1"/>
  <c r="G6" i="6"/>
  <c r="I6" i="6" s="1"/>
  <c r="G7" i="6"/>
  <c r="I7" i="6" s="1"/>
  <c r="G8" i="6"/>
  <c r="I8" i="6" s="1"/>
  <c r="G9" i="6"/>
  <c r="I9" i="6" s="1"/>
  <c r="G10" i="6"/>
  <c r="I10" i="6" s="1"/>
  <c r="G11" i="6"/>
  <c r="I11" i="6" s="1"/>
  <c r="G12" i="6"/>
  <c r="I12" i="6" s="1"/>
  <c r="G13" i="6"/>
  <c r="I13" i="6" s="1"/>
  <c r="G14" i="6"/>
  <c r="I14" i="6" s="1"/>
  <c r="G15" i="6"/>
  <c r="I15" i="6" s="1"/>
  <c r="G16" i="6"/>
  <c r="I16" i="6" s="1"/>
  <c r="G17" i="6"/>
  <c r="I17" i="6" s="1"/>
  <c r="G18" i="6"/>
  <c r="I18" i="6" s="1"/>
  <c r="G19" i="6"/>
  <c r="I19" i="6" s="1"/>
  <c r="G20" i="6"/>
  <c r="I20" i="6" s="1"/>
  <c r="G21" i="6"/>
  <c r="I21" i="6" s="1"/>
  <c r="G22" i="6"/>
  <c r="I22" i="6" s="1"/>
  <c r="G23" i="6"/>
  <c r="I23" i="6" s="1"/>
  <c r="G24" i="6"/>
  <c r="I24" i="6" s="1"/>
  <c r="G25" i="6"/>
  <c r="I25" i="6" s="1"/>
  <c r="G26" i="6"/>
  <c r="I26" i="6" s="1"/>
  <c r="G27" i="6"/>
  <c r="I27" i="6" s="1"/>
  <c r="G28" i="6"/>
  <c r="I28" i="6" s="1"/>
  <c r="G29" i="6"/>
  <c r="I29" i="6" s="1"/>
  <c r="G30" i="6"/>
  <c r="I30" i="6" s="1"/>
  <c r="G31" i="6"/>
  <c r="I31" i="6" s="1"/>
  <c r="G32" i="6"/>
  <c r="I32" i="6" s="1"/>
  <c r="G33" i="6"/>
  <c r="I33" i="6" s="1"/>
  <c r="G34" i="6"/>
  <c r="I34" i="6" s="1"/>
  <c r="G35" i="6"/>
  <c r="I35" i="6" s="1"/>
  <c r="G36" i="6"/>
  <c r="I36" i="6" s="1"/>
  <c r="G37" i="6"/>
  <c r="I37" i="6" s="1"/>
  <c r="G38" i="6"/>
  <c r="I38" i="6" s="1"/>
  <c r="G39" i="6"/>
  <c r="I39" i="6" s="1"/>
  <c r="G40" i="6"/>
  <c r="I40" i="6" s="1"/>
  <c r="G41" i="6"/>
  <c r="I41" i="6" s="1"/>
  <c r="G42" i="6"/>
  <c r="I42" i="6" s="1"/>
  <c r="G43" i="6"/>
  <c r="I43" i="6" s="1"/>
  <c r="G44" i="6"/>
  <c r="I44" i="6" s="1"/>
  <c r="G45" i="6"/>
  <c r="I45" i="6" s="1"/>
  <c r="G46" i="6"/>
  <c r="I46" i="6" s="1"/>
  <c r="G47" i="6"/>
  <c r="I47" i="6" s="1"/>
  <c r="G48" i="6"/>
  <c r="I48" i="6" s="1"/>
  <c r="G49" i="6"/>
  <c r="I49" i="6" s="1"/>
  <c r="G50" i="6"/>
  <c r="I50" i="6" s="1"/>
  <c r="G51" i="6"/>
  <c r="I51" i="6" s="1"/>
  <c r="G52" i="6"/>
  <c r="I52" i="6" s="1"/>
  <c r="G53" i="6"/>
  <c r="I53" i="6" s="1"/>
  <c r="G54" i="6"/>
  <c r="I54" i="6" s="1"/>
  <c r="G55" i="6"/>
  <c r="I55" i="6" s="1"/>
  <c r="G56" i="6"/>
  <c r="I56" i="6" s="1"/>
  <c r="G57" i="6"/>
  <c r="I57" i="6" s="1"/>
  <c r="G58" i="6"/>
  <c r="I58" i="6" s="1"/>
  <c r="G59" i="6"/>
  <c r="I59" i="6" s="1"/>
  <c r="G60" i="6"/>
  <c r="I60" i="6" s="1"/>
  <c r="G61" i="6"/>
  <c r="I61" i="6" s="1"/>
  <c r="G62" i="6"/>
  <c r="I62" i="6" s="1"/>
  <c r="G63" i="6"/>
  <c r="I63" i="6" s="1"/>
  <c r="G64" i="6"/>
  <c r="I64" i="6" s="1"/>
  <c r="G65" i="6"/>
  <c r="I65" i="6" s="1"/>
  <c r="G66" i="6"/>
  <c r="I66" i="6" s="1"/>
  <c r="G67" i="6"/>
  <c r="I67" i="6" s="1"/>
  <c r="G2" i="6"/>
  <c r="I2" i="6" s="1"/>
  <c r="P3" i="6"/>
  <c r="P5" i="6"/>
  <c r="P6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N3" i="6"/>
  <c r="O3" i="6" s="1"/>
  <c r="N4" i="6"/>
  <c r="P4" i="6" s="1"/>
  <c r="N5" i="6"/>
  <c r="N6" i="6"/>
  <c r="O6" i="6" s="1"/>
  <c r="N7" i="6"/>
  <c r="P7" i="6" s="1"/>
  <c r="N8" i="6"/>
  <c r="O8" i="6" s="1"/>
  <c r="N9" i="6"/>
  <c r="O9" i="6" s="1"/>
  <c r="N10" i="6"/>
  <c r="O10" i="6" s="1"/>
  <c r="N11" i="6"/>
  <c r="N12" i="6"/>
  <c r="O12" i="6" s="1"/>
  <c r="N13" i="6"/>
  <c r="O13" i="6" s="1"/>
  <c r="N14" i="6"/>
  <c r="O14" i="6" s="1"/>
  <c r="N15" i="6"/>
  <c r="O15" i="6" s="1"/>
  <c r="N16" i="6"/>
  <c r="O16" i="6" s="1"/>
  <c r="N17" i="6"/>
  <c r="O17" i="6" s="1"/>
  <c r="N18" i="6"/>
  <c r="O18" i="6" s="1"/>
  <c r="N19" i="6"/>
  <c r="O19" i="6" s="1"/>
  <c r="N20" i="6"/>
  <c r="O20" i="6" s="1"/>
  <c r="N21" i="6"/>
  <c r="O21" i="6" s="1"/>
  <c r="N22" i="6"/>
  <c r="O22" i="6" s="1"/>
  <c r="N23" i="6"/>
  <c r="O23" i="6" s="1"/>
  <c r="N24" i="6"/>
  <c r="O24" i="6" s="1"/>
  <c r="N25" i="6"/>
  <c r="O25" i="6" s="1"/>
  <c r="N26" i="6"/>
  <c r="O26" i="6" s="1"/>
  <c r="N27" i="6"/>
  <c r="O27" i="6" s="1"/>
  <c r="N28" i="6"/>
  <c r="O28" i="6" s="1"/>
  <c r="N29" i="6"/>
  <c r="O29" i="6" s="1"/>
  <c r="N30" i="6"/>
  <c r="O30" i="6" s="1"/>
  <c r="N31" i="6"/>
  <c r="N32" i="6"/>
  <c r="O32" i="6" s="1"/>
  <c r="N33" i="6"/>
  <c r="O33" i="6" s="1"/>
  <c r="N34" i="6"/>
  <c r="O34" i="6" s="1"/>
  <c r="N35" i="6"/>
  <c r="O35" i="6" s="1"/>
  <c r="N36" i="6"/>
  <c r="O36" i="6" s="1"/>
  <c r="N37" i="6"/>
  <c r="O37" i="6" s="1"/>
  <c r="N38" i="6"/>
  <c r="O38" i="6" s="1"/>
  <c r="N39" i="6"/>
  <c r="N40" i="6"/>
  <c r="O40" i="6" s="1"/>
  <c r="N41" i="6"/>
  <c r="O41" i="6" s="1"/>
  <c r="N42" i="6"/>
  <c r="O42" i="6" s="1"/>
  <c r="N43" i="6"/>
  <c r="O43" i="6" s="1"/>
  <c r="N44" i="6"/>
  <c r="O44" i="6" s="1"/>
  <c r="N45" i="6"/>
  <c r="O45" i="6" s="1"/>
  <c r="N46" i="6"/>
  <c r="O46" i="6" s="1"/>
  <c r="N47" i="6"/>
  <c r="N48" i="6"/>
  <c r="O48" i="6" s="1"/>
  <c r="N49" i="6"/>
  <c r="O49" i="6" s="1"/>
  <c r="N50" i="6"/>
  <c r="O50" i="6" s="1"/>
  <c r="N51" i="6"/>
  <c r="N52" i="6"/>
  <c r="O52" i="6" s="1"/>
  <c r="N53" i="6"/>
  <c r="O53" i="6" s="1"/>
  <c r="N54" i="6"/>
  <c r="O54" i="6" s="1"/>
  <c r="N55" i="6"/>
  <c r="O55" i="6" s="1"/>
  <c r="N56" i="6"/>
  <c r="O56" i="6" s="1"/>
  <c r="N57" i="6"/>
  <c r="O57" i="6" s="1"/>
  <c r="N58" i="6"/>
  <c r="O58" i="6" s="1"/>
  <c r="N59" i="6"/>
  <c r="O59" i="6" s="1"/>
  <c r="N60" i="6"/>
  <c r="O60" i="6" s="1"/>
  <c r="N61" i="6"/>
  <c r="O61" i="6" s="1"/>
  <c r="N62" i="6"/>
  <c r="O62" i="6" s="1"/>
  <c r="N63" i="6"/>
  <c r="O63" i="6" s="1"/>
  <c r="N64" i="6"/>
  <c r="O64" i="6" s="1"/>
  <c r="N65" i="6"/>
  <c r="O65" i="6" s="1"/>
  <c r="N66" i="6"/>
  <c r="O66" i="6" s="1"/>
  <c r="N67" i="6"/>
  <c r="O67" i="6" s="1"/>
  <c r="N2" i="6"/>
  <c r="O2" i="6" s="1"/>
  <c r="O5" i="6"/>
  <c r="O7" i="6"/>
  <c r="O11" i="6"/>
  <c r="O31" i="6"/>
  <c r="O39" i="6"/>
  <c r="O47" i="6"/>
  <c r="O51" i="6"/>
  <c r="P2" i="6" l="1"/>
  <c r="P48" i="6"/>
  <c r="O4" i="6"/>
  <c r="O68" i="6" s="1"/>
  <c r="P68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tc={77296FBA-49F2-40F7-9EC6-3AB30DDFAC9B}</author>
    <author>tc={90F8F66B-B9AD-441A-9923-3069F8BD1293}</author>
    <author>tc={1502277C-ABB9-4562-8F72-0B8BE26F400D}</author>
  </authors>
  <commentList>
    <comment ref="G1" authorId="0" shapeId="0" xr:uid="{77296FBA-49F2-40F7-9EC6-3AB30DDFAC9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NÃO PREENCHER</t>
      </text>
    </comment>
    <comment ref="I1" authorId="1" shapeId="0" xr:uid="{90F8F66B-B9AD-441A-9923-3069F8BD129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NÃO PREENCHER</t>
      </text>
    </comment>
    <comment ref="N1" authorId="2" shapeId="0" xr:uid="{1502277C-ABB9-4562-8F72-0B8BE26F400D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Não Preencher </t>
      </text>
    </comment>
  </commentList>
</comments>
</file>

<file path=xl/sharedStrings.xml><?xml version="1.0" encoding="utf-8"?>
<sst xmlns="http://schemas.openxmlformats.org/spreadsheetml/2006/main" count="228" uniqueCount="163">
  <si>
    <t>Nº</t>
  </si>
  <si>
    <t xml:space="preserve">ADMISSÃO </t>
  </si>
  <si>
    <t>CPF</t>
  </si>
  <si>
    <t>NOME FUNCIONÁRIO</t>
  </si>
  <si>
    <t>054.336.299-02</t>
  </si>
  <si>
    <t>122.872.238-27</t>
  </si>
  <si>
    <t>738.167.449-15</t>
  </si>
  <si>
    <t>019.800.159-29</t>
  </si>
  <si>
    <t>068.449.519-81</t>
  </si>
  <si>
    <t>047.149.309-07</t>
  </si>
  <si>
    <t>784.483.879-53</t>
  </si>
  <si>
    <t>037.757.029-03</t>
  </si>
  <si>
    <t>TALITA MIYOKO HIRAI DA SILVA</t>
  </si>
  <si>
    <t>VALDAIR FIDELIZ DE CAMPOS</t>
  </si>
  <si>
    <t>ALMIRO OLIVEIRA DE MATOS KLUBER</t>
  </si>
  <si>
    <t xml:space="preserve">IVAN FERREIRA DOS SANTOS </t>
  </si>
  <si>
    <t>LUIS CARLOS NAFALSKI</t>
  </si>
  <si>
    <t xml:space="preserve">MARCOS AURELIO ANTONIO </t>
  </si>
  <si>
    <t>JOSE ROBERTO MIGUEL</t>
  </si>
  <si>
    <t>LEANDRO DA COSTA LOPES</t>
  </si>
  <si>
    <t>087.792.029-00</t>
  </si>
  <si>
    <t>904.410.109-97</t>
  </si>
  <si>
    <t>022.591.139-66</t>
  </si>
  <si>
    <t>001.361.439-89</t>
  </si>
  <si>
    <t>061.542.799-57</t>
  </si>
  <si>
    <t>CLEITON GOMES</t>
  </si>
  <si>
    <t>AMADEU DO NASCIMENTO</t>
  </si>
  <si>
    <t>NEREI JOSE DOS SANTOS</t>
  </si>
  <si>
    <t>GODOIL CARLOS DOS SANTOS</t>
  </si>
  <si>
    <t>ELIAS DA CRUZ</t>
  </si>
  <si>
    <t>005.163.379-55</t>
  </si>
  <si>
    <t>458.213.649-49</t>
  </si>
  <si>
    <t>116.005.419-33</t>
  </si>
  <si>
    <t>006.432.795-71</t>
  </si>
  <si>
    <t>905.833.379-53</t>
  </si>
  <si>
    <t>360.816.278-02</t>
  </si>
  <si>
    <t>919.111.099-87</t>
  </si>
  <si>
    <t>RENY ANGELIS BALANDIUK</t>
  </si>
  <si>
    <t>VALDECI NUNES DA SILVA</t>
  </si>
  <si>
    <t>EDUARDO GABRIEL RAMOS</t>
  </si>
  <si>
    <t>GELSON DO ESPIRITO SANTO</t>
  </si>
  <si>
    <t>LUIS CARLOS DE LIMA</t>
  </si>
  <si>
    <t>VALDECI DOS SANTOS FERREIRA</t>
  </si>
  <si>
    <t>SERVINO LEAL</t>
  </si>
  <si>
    <t>096.863.859-75</t>
  </si>
  <si>
    <t>836.415.999-20</t>
  </si>
  <si>
    <t>134.843.309-45</t>
  </si>
  <si>
    <t>128.043.819-35</t>
  </si>
  <si>
    <t>082.203.089-66</t>
  </si>
  <si>
    <t>569.874.479-34</t>
  </si>
  <si>
    <t>101.363.449-76</t>
  </si>
  <si>
    <t>080.593.199-65</t>
  </si>
  <si>
    <t>118.433.959-75</t>
  </si>
  <si>
    <t>073.809.289-45</t>
  </si>
  <si>
    <t>053.601.019-62</t>
  </si>
  <si>
    <t>057.045.429-80</t>
  </si>
  <si>
    <t>090.109.069-73</t>
  </si>
  <si>
    <t>095.814.859-70</t>
  </si>
  <si>
    <t>105.760.549-25</t>
  </si>
  <si>
    <t>724.374.489-34</t>
  </si>
  <si>
    <t>995.922.159-87</t>
  </si>
  <si>
    <t>156.292.058-89</t>
  </si>
  <si>
    <t>096.225.139-99</t>
  </si>
  <si>
    <t>358.800.909-49</t>
  </si>
  <si>
    <t>472.107.619-34</t>
  </si>
  <si>
    <t>023.065.099-64</t>
  </si>
  <si>
    <t>090.415.749-05</t>
  </si>
  <si>
    <t>025.749.079-57</t>
  </si>
  <si>
    <t>109.267.929-46</t>
  </si>
  <si>
    <t>707.267.212-55</t>
  </si>
  <si>
    <t>086.971.299-31</t>
  </si>
  <si>
    <t>146.454.389-56</t>
  </si>
  <si>
    <t>321.530.388-47</t>
  </si>
  <si>
    <t>098.098.069-06</t>
  </si>
  <si>
    <t>080.536.119-74</t>
  </si>
  <si>
    <t>120.374.679-23</t>
  </si>
  <si>
    <t>099.202.899-06</t>
  </si>
  <si>
    <t>053.529.399-28</t>
  </si>
  <si>
    <t>599.769.269-87</t>
  </si>
  <si>
    <t>039.339.249-01</t>
  </si>
  <si>
    <t>635.146.809-49</t>
  </si>
  <si>
    <t>041.993.189-92</t>
  </si>
  <si>
    <t>OTAVIO GONCALVES DOS REIS JUNIOR</t>
  </si>
  <si>
    <t>CLAUDIO ROGERIO DE LIMA</t>
  </si>
  <si>
    <t xml:space="preserve">LEONARDO MELLO DE OLIVEIRA </t>
  </si>
  <si>
    <t xml:space="preserve">FABIO JUNIOR RODRIGUES DE OLIVEIRA </t>
  </si>
  <si>
    <t>ROBSON DOS SANTOS FARIA</t>
  </si>
  <si>
    <t>ANTONIO WILMAR SCHEUNEMAN</t>
  </si>
  <si>
    <t xml:space="preserve">RICARDO ADIR CAVALLI </t>
  </si>
  <si>
    <t>MATEUS JACO DE JESUS</t>
  </si>
  <si>
    <t xml:space="preserve">FABIO JOAO DOS SANTOS </t>
  </si>
  <si>
    <t>RENATO APARECIDO LIMA</t>
  </si>
  <si>
    <t>EDSON MOIZES DOS SANTOS</t>
  </si>
  <si>
    <t>CLEVERSON LUIS DOS SANTOS</t>
  </si>
  <si>
    <t>GEAN FELIPE DE CRISTO</t>
  </si>
  <si>
    <t>KAYK VINICYUS DE FARIA COSTA</t>
  </si>
  <si>
    <t>WALDRI MIRANDA DE CRISTO</t>
  </si>
  <si>
    <t>LUIZ CARLOS ROSA DOS SANTOS</t>
  </si>
  <si>
    <t>JOAO CARLOS DA SILVA</t>
  </si>
  <si>
    <t xml:space="preserve">CARLOS SANTIAGO </t>
  </si>
  <si>
    <t>DANIEL PRADO</t>
  </si>
  <si>
    <t xml:space="preserve">SEBASTIÃO FERREIRA NETO </t>
  </si>
  <si>
    <t>SEBASTIÃO CEZAR DE OLIVEIRA</t>
  </si>
  <si>
    <t>SERGIO PEREIRA DE BRITO</t>
  </si>
  <si>
    <t xml:space="preserve">BRUNO FERENS MAYER </t>
  </si>
  <si>
    <t>RAFAEL CRISTIANO QUEQUI</t>
  </si>
  <si>
    <t>CARLOS EDUARDO DE OLIVEIRA MERELLIS</t>
  </si>
  <si>
    <t>ALEXIS JOSE PEREIRA</t>
  </si>
  <si>
    <t>REGINALDO SAMPAIO PIDHGURNEI</t>
  </si>
  <si>
    <t>YAGO ALVES MACHADO</t>
  </si>
  <si>
    <t xml:space="preserve">PAULO DA SILVA </t>
  </si>
  <si>
    <t>LUCAS GUILHERME MARTINS CANDIO</t>
  </si>
  <si>
    <t xml:space="preserve">FERNANDO MARINHO DOS SANTOS </t>
  </si>
  <si>
    <t>ELIEZER SILVA DE BRITO</t>
  </si>
  <si>
    <t>VINICIUS ARAUJO SANTOS</t>
  </si>
  <si>
    <t>RUDINELE JOSE RIBEIRO</t>
  </si>
  <si>
    <t xml:space="preserve">NOEL DAS NEVES </t>
  </si>
  <si>
    <t>LUCIANO DE LIMA</t>
  </si>
  <si>
    <t>LUIZ CARLOS PIETROWSKI</t>
  </si>
  <si>
    <t>CLEZIO ANONIO SIQUEIRA PEREIRA</t>
  </si>
  <si>
    <t xml:space="preserve">OBSERVAÇÕES </t>
  </si>
  <si>
    <t>MATRÍCULA</t>
  </si>
  <si>
    <t xml:space="preserve">FALTA S/ JUSTIFICATIVA </t>
  </si>
  <si>
    <t>ATESTADO MÉDICO</t>
  </si>
  <si>
    <t xml:space="preserve">REPOSIÇÃO </t>
  </si>
  <si>
    <t>106.770.499-00</t>
  </si>
  <si>
    <t>IGOR RIBEIRO CASTRO</t>
  </si>
  <si>
    <t>050.073.669-35</t>
  </si>
  <si>
    <t>030.902.689-06</t>
  </si>
  <si>
    <t>092.337.139-70</t>
  </si>
  <si>
    <t>104.883.299-65</t>
  </si>
  <si>
    <t>023.633.199-07</t>
  </si>
  <si>
    <t>DIOGO DOS SANTOS BELLO SANT ANA</t>
  </si>
  <si>
    <t>DANIEL MATHEUS ALVES DOS SANTOS</t>
  </si>
  <si>
    <t>ALAN FELIPE DOS SANTOS DE SOUSA</t>
  </si>
  <si>
    <t>CARLOS EDUARDO DE GOUVEIA</t>
  </si>
  <si>
    <t>FLAVIO MAIA FERREIRA</t>
  </si>
  <si>
    <t>FÉRIAS</t>
  </si>
  <si>
    <t>AFASTAMENTO</t>
  </si>
  <si>
    <t>Nº DE AUSÊNCIAS</t>
  </si>
  <si>
    <t>Dias úteis:</t>
  </si>
  <si>
    <t>Dias Corridos:</t>
  </si>
  <si>
    <t>VR</t>
  </si>
  <si>
    <t>VT</t>
  </si>
  <si>
    <t>Valor Base VR:</t>
  </si>
  <si>
    <t>Desconto Dia VR:</t>
  </si>
  <si>
    <t>Desc. Assiduidade:</t>
  </si>
  <si>
    <t>Desc. Dia VT:</t>
  </si>
  <si>
    <t>TOTAL</t>
  </si>
  <si>
    <t>Optante VT</t>
  </si>
  <si>
    <t>sim</t>
  </si>
  <si>
    <t>não</t>
  </si>
  <si>
    <t>Período de Contabilização:</t>
  </si>
  <si>
    <t>25/08 à 25/09</t>
  </si>
  <si>
    <t>Dias a se Contabilizar:</t>
  </si>
  <si>
    <t>Segunda à Sábado (alternado)</t>
  </si>
  <si>
    <t>FUNÇÃO</t>
  </si>
  <si>
    <t>MOT. CAM. LEVE</t>
  </si>
  <si>
    <t>MOT. CARRO</t>
  </si>
  <si>
    <t>AUX. ADM</t>
  </si>
  <si>
    <t>DSR UNITÁRIO</t>
  </si>
  <si>
    <t>DSR TOTAL</t>
  </si>
  <si>
    <t>QUANT. DSR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</si>
</sst>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Bodoni MT Condensed"/>
      <family val="1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name val="Book Antiqua"/>
      <family val="1"/>
    </font>
  </fonts>
  <fills count="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6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14" fontId="1" fillId="3" borderId="2" xfId="0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/>
    </xf>
    <xf numFmtId="14" fontId="1" fillId="0" borderId="1" xfId="0" applyNumberFormat="1" applyFont="1" applyBorder="1" applyAlignment="1">
      <alignment horizontal="center" vertical="center"/>
    </xf>
    <xf numFmtId="14" fontId="1" fillId="0" borderId="4" xfId="0" applyNumberFormat="1" applyFont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14" fontId="1" fillId="3" borderId="4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3" borderId="2" xfId="0" applyFont="1" applyFill="1" applyBorder="1"/>
    <xf numFmtId="0" fontId="1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6" fillId="3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2" fontId="8" fillId="6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horizontal="right"/>
    </xf>
    <xf numFmtId="14" fontId="6" fillId="2" borderId="1" xfId="0" applyNumberFormat="1" applyFont="1" applyFill="1" applyBorder="1" applyAlignment="1">
      <alignment horizontal="center" vertical="center"/>
    </xf>
    <xf numFmtId="14" fontId="1" fillId="5" borderId="1" xfId="0" applyNumberFormat="1" applyFont="1" applyFill="1" applyBorder="1" applyAlignment="1">
      <alignment horizontal="center" vertical="center"/>
    </xf>
    <xf numFmtId="14" fontId="1" fillId="5" borderId="1" xfId="0" applyNumberFormat="1" applyFont="1" applyFill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" xfId="0" applyFont="1" applyFill="1" applyBorder="1"/>
    <xf numFmtId="0" fontId="3" fillId="3" borderId="5" xfId="0" applyFont="1" applyFill="1" applyBorder="1" applyAlignment="1">
      <alignment vertical="center"/>
    </xf>
    <xf numFmtId="44" fontId="7" fillId="3" borderId="1" xfId="0" applyNumberFormat="1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0" fillId="3" borderId="0" xfId="0" applyFill="1"/>
    <xf numFmtId="0" fontId="7" fillId="3" borderId="0" xfId="0" applyFont="1" applyFill="1" applyAlignment="1">
      <alignment horizontal="center" vertical="center"/>
    </xf>
    <xf numFmtId="44" fontId="7" fillId="3" borderId="0" xfId="0" applyNumberFormat="1" applyFont="1" applyFill="1" applyAlignment="1">
      <alignment horizontal="center" vertical="center"/>
    </xf>
    <xf numFmtId="44" fontId="3" fillId="3" borderId="6" xfId="1" applyFont="1" applyFill="1" applyBorder="1" applyAlignment="1">
      <alignment vertical="center"/>
    </xf>
    <xf numFmtId="44" fontId="3" fillId="3" borderId="5" xfId="1" applyFont="1" applyFill="1" applyBorder="1" applyAlignment="1">
      <alignment vertical="center"/>
    </xf>
    <xf numFmtId="0" fontId="3" fillId="3" borderId="2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3" borderId="5" xfId="0" applyFont="1" applyFill="1" applyBorder="1" applyAlignment="1">
      <alignment horizontal="right" vertical="center"/>
    </xf>
    <xf numFmtId="44" fontId="8" fillId="7" borderId="3" xfId="1" applyFont="1" applyFill="1" applyBorder="1" applyAlignment="1">
      <alignment horizontal="center" vertical="center"/>
    </xf>
    <xf numFmtId="44" fontId="7" fillId="3" borderId="1" xfId="1" applyFont="1" applyFill="1" applyBorder="1" applyAlignment="1">
      <alignment horizontal="center" vertical="center"/>
    </xf>
    <xf numFmtId="44" fontId="7" fillId="3" borderId="0" xfId="1" applyFont="1" applyFill="1" applyBorder="1" applyAlignment="1">
      <alignment horizontal="center" vertical="center"/>
    </xf>
    <xf numFmtId="44" fontId="0" fillId="0" borderId="0" xfId="1" applyFont="1"/>
    <xf numFmtId="0" fontId="8" fillId="4" borderId="4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vertical="center"/>
    </xf>
    <xf numFmtId="0" fontId="3" fillId="3" borderId="7" xfId="0" applyFont="1" applyFill="1" applyBorder="1" applyAlignment="1">
      <alignment vertical="center"/>
    </xf>
    <xf numFmtId="0" fontId="0" fillId="0" borderId="0" xfId="0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49876E"/>
      <color rgb="FF6BC25C"/>
      <color rgb="FFCCECFF"/>
      <color rgb="FFFF0066"/>
      <color rgb="FF5D62C1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133351</xdr:colOff>
          <xdr:row>1</xdr:row>
          <xdr:rowOff>28575</xdr:rowOff>
        </xdr:from>
        <xdr:to>
          <xdr:col>19</xdr:col>
          <xdr:colOff>552451</xdr:colOff>
          <xdr:row>3</xdr:row>
          <xdr:rowOff>104775</xdr:rowOff>
        </xdr:to>
        <xdr:sp macro="" textlink="">
          <xdr:nvSpPr>
            <xdr:cNvPr id="6149" name="CommandButton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142876</xdr:colOff>
          <xdr:row>3</xdr:row>
          <xdr:rowOff>209550</xdr:rowOff>
        </xdr:from>
        <xdr:to>
          <xdr:col>19</xdr:col>
          <xdr:colOff>561976</xdr:colOff>
          <xdr:row>5</xdr:row>
          <xdr:rowOff>266700</xdr:rowOff>
        </xdr:to>
        <xdr:sp macro="" textlink="">
          <xdr:nvSpPr>
            <xdr:cNvPr id="6152" name="CommandButton2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0</xdr:colOff>
      <xdr:row>0</xdr:row>
      <xdr:rowOff>28575</xdr:rowOff>
    </xdr:from>
    <xdr:to>
      <xdr:col>22</xdr:col>
      <xdr:colOff>9525</xdr:colOff>
      <xdr:row>0</xdr:row>
      <xdr:rowOff>361950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F90014B3-E1FA-A14C-0EC2-CE49C637FF55}"/>
            </a:ext>
          </a:extLst>
        </xdr:cNvPr>
        <xdr:cNvSpPr txBox="1"/>
      </xdr:nvSpPr>
      <xdr:spPr>
        <a:xfrm>
          <a:off x="21802725" y="28575"/>
          <a:ext cx="4695825" cy="33337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600" b="1"/>
            <a:t>Checklist Benefícios</a:t>
          </a:r>
        </a:p>
      </xdr:txBody>
    </xdr:sp>
    <xdr:clientData/>
  </xdr:twoCellAnchor>
  <xdr:twoCellAnchor editAs="oneCell">
    <xdr:from>
      <xdr:col>20</xdr:col>
      <xdr:colOff>66675</xdr:colOff>
      <xdr:row>0</xdr:row>
      <xdr:rowOff>95250</xdr:rowOff>
    </xdr:from>
    <xdr:to>
      <xdr:col>20</xdr:col>
      <xdr:colOff>942975</xdr:colOff>
      <xdr:row>0</xdr:row>
      <xdr:rowOff>333375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1F2C3E8-BF16-C316-3425-1BC0970EB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69400" y="95250"/>
          <a:ext cx="876300" cy="23812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agner" id="{E177810F-6743-4C7E-B71B-46E221BEE136}" userId="Wagner" providerId="None"/>
</personList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" dT="2024-09-17T13:12:23.19" personId="{E177810F-6743-4C7E-B71B-46E221BEE136}" id="{77296FBA-49F2-40F7-9EC6-3AB30DDFAC9B}">
    <text>NÃO PREENCHER</text>
  </threadedComment>
  <threadedComment ref="I1" dT="2024-09-17T13:12:10.83" personId="{E177810F-6743-4C7E-B71B-46E221BEE136}" id="{90F8F66B-B9AD-441A-9923-3069F8BD1293}">
    <text>NÃO PREENCHER</text>
  </threadedComment>
  <threadedComment ref="N1" dT="2024-09-16T18:56:52.51" personId="{E177810F-6743-4C7E-B71B-46E221BEE136}" id="{1502277C-ABB9-4562-8F72-0B8BE26F400D}">
    <text xml:space="preserve">Não Preencher 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62B49-FB5A-4A05-B84B-39FCC3C5011C}">
  <sheetPr codeName="Planilha1"/>
  <dimension ref="A1:V69"/>
  <sheetViews>
    <sheetView tabSelected="1" workbookViewId="0">
      <pane ySplit="1" topLeftCell="A2" activePane="bottomLeft" state="frozen"/>
      <selection pane="bottomLeft" activeCell="D7" sqref="D7:E7"/>
    </sheetView>
  </sheetViews>
  <sheetFormatPr defaultRowHeight="15" x14ac:dyDescent="0.25"/>
  <cols>
    <col min="1" max="1" width="5.28515625" customWidth="1"/>
    <col min="2" max="2" width="14.28515625" customWidth="1"/>
    <col min="3" max="3" width="12.5703125" customWidth="1"/>
    <col min="4" max="4" width="16.7109375" customWidth="1"/>
    <col min="5" max="5" width="35.85546875" customWidth="1"/>
    <col min="6" max="6" width="17.140625" customWidth="1"/>
    <col min="7" max="7" width="15.5703125" bestFit="1" customWidth="1"/>
    <col min="8" max="8" width="13.28515625" bestFit="1" customWidth="1"/>
    <col min="9" max="9" width="12.140625" bestFit="1" customWidth="1"/>
    <col min="10" max="10" width="15.7109375" bestFit="1" customWidth="1"/>
    <col min="11" max="11" width="13.5703125" customWidth="1"/>
    <col min="12" max="12" width="11.85546875" customWidth="1"/>
    <col min="13" max="13" width="18.85546875" customWidth="1"/>
    <col min="14" max="15" width="21.42578125" customWidth="1"/>
    <col min="16" max="16" width="21.42578125" style="58" customWidth="1"/>
    <col min="17" max="17" width="21.42578125" customWidth="1"/>
    <col min="18" max="18" width="20.140625" customWidth="1"/>
    <col min="21" max="21" width="33.140625" bestFit="1" customWidth="1"/>
    <col min="22" max="22" width="37.140625" bestFit="1" customWidth="1"/>
  </cols>
  <sheetData>
    <row r="1" spans="1:22" ht="30" x14ac:dyDescent="0.25">
      <c r="A1" s="24" t="s">
        <v>0</v>
      </c>
      <c r="B1" s="25" t="s">
        <v>1</v>
      </c>
      <c r="C1" s="24" t="s">
        <v>121</v>
      </c>
      <c r="D1" s="24" t="s">
        <v>2</v>
      </c>
      <c r="E1" s="24" t="s">
        <v>3</v>
      </c>
      <c r="F1" s="24" t="s">
        <v>156</v>
      </c>
      <c r="G1" s="26" t="s">
        <v>160</v>
      </c>
      <c r="H1" s="24" t="s">
        <v>162</v>
      </c>
      <c r="I1" s="26" t="s">
        <v>161</v>
      </c>
      <c r="J1" s="60" t="s">
        <v>122</v>
      </c>
      <c r="K1" s="60" t="s">
        <v>123</v>
      </c>
      <c r="L1" s="24" t="s">
        <v>137</v>
      </c>
      <c r="M1" s="24" t="s">
        <v>138</v>
      </c>
      <c r="N1" s="59" t="s">
        <v>139</v>
      </c>
      <c r="O1" s="43" t="s">
        <v>142</v>
      </c>
      <c r="P1" s="55" t="s">
        <v>143</v>
      </c>
      <c r="Q1" s="43" t="s">
        <v>149</v>
      </c>
      <c r="R1" s="27" t="s">
        <v>120</v>
      </c>
      <c r="U1" s="63"/>
      <c r="V1" s="63"/>
    </row>
    <row r="2" spans="1:22" ht="28.5" x14ac:dyDescent="0.25">
      <c r="A2" s="1">
        <v>1</v>
      </c>
      <c r="B2" s="8">
        <v>45435</v>
      </c>
      <c r="C2" s="35">
        <v>1872</v>
      </c>
      <c r="D2" s="39" t="s">
        <v>4</v>
      </c>
      <c r="E2" s="17" t="s">
        <v>12</v>
      </c>
      <c r="F2" s="17" t="s">
        <v>159</v>
      </c>
      <c r="G2" s="17">
        <f>IF(F2="MOT. TRUCK",81.12,IF(F2="MOT. CAM. LEVE",73.34,IF(F2="MOT. CAM. PES.",77.25,IF(F2="MOT. CARRO",71.61,IF(F2="COLETOR",58.3,IF(F2="SERVENTE",54.7,IF(F2="OP. RETRO",85.05,IF(F2="FISC/ENC",95.73,IF(F2="AUX. ADM",83.33,"INSERIR FUNÇÃO")))))))))</f>
        <v>83.33</v>
      </c>
      <c r="H2" s="21">
        <v>0</v>
      </c>
      <c r="I2" s="21">
        <f>H2*G2</f>
        <v>0</v>
      </c>
      <c r="J2" s="21">
        <v>1</v>
      </c>
      <c r="K2" s="21">
        <v>0</v>
      </c>
      <c r="L2" s="21">
        <v>0</v>
      </c>
      <c r="M2" s="21">
        <v>0</v>
      </c>
      <c r="N2" s="21">
        <f>SUM(J2:M2)</f>
        <v>1</v>
      </c>
      <c r="O2" s="42">
        <f>V$4-SUM(J2:M2)*V$5-IF(N2&gt;=1,V$6,0)</f>
        <v>621.66999999999996</v>
      </c>
      <c r="P2" s="56" t="str">
        <f>IF(Q2="sim",(V$2*V$7)-(N2*V$7),"")</f>
        <v/>
      </c>
      <c r="Q2" s="42" t="s">
        <v>151</v>
      </c>
      <c r="R2" s="23"/>
      <c r="U2" s="53" t="s">
        <v>140</v>
      </c>
      <c r="V2" s="53">
        <v>23</v>
      </c>
    </row>
    <row r="3" spans="1:22" ht="28.5" x14ac:dyDescent="0.25">
      <c r="A3" s="1">
        <v>2</v>
      </c>
      <c r="B3" s="9">
        <v>45056</v>
      </c>
      <c r="C3" s="29">
        <v>1596</v>
      </c>
      <c r="D3" s="4" t="s">
        <v>44</v>
      </c>
      <c r="E3" s="18" t="s">
        <v>82</v>
      </c>
      <c r="F3" s="17" t="s">
        <v>157</v>
      </c>
      <c r="G3" s="17">
        <f t="shared" ref="G3:G66" si="0">IF(F3="MOT. TRUCK",81.12,IF(F3="MOT. CAM. LEVE",73.34,IF(F3="MOT. CAM. PES.",77.25,IF(F3="MOT. CARRO",71.61,IF(F3="COLETOR",58.3,IF(F3="SERVENTE",54.7,IF(F3="OP. RETRO",85.05,IF(F3="FISC/ENC",95.73,IF(F3="AUX. ADM",83.33,"INSERIR FUNÇÃO")))))))))</f>
        <v>73.34</v>
      </c>
      <c r="H3" s="21">
        <v>0</v>
      </c>
      <c r="I3" s="21">
        <f>H3*G3</f>
        <v>0</v>
      </c>
      <c r="J3" s="21">
        <v>0</v>
      </c>
      <c r="K3" s="21">
        <v>0</v>
      </c>
      <c r="L3" s="21">
        <v>0</v>
      </c>
      <c r="M3" s="21">
        <v>0</v>
      </c>
      <c r="N3" s="21">
        <f t="shared" ref="N3:N66" si="1">SUM(J3:M3)</f>
        <v>0</v>
      </c>
      <c r="O3" s="42">
        <f>V$4-SUM(J3:M3)*V$5-IF(N3&gt;=1,V$6,0)</f>
        <v>700</v>
      </c>
      <c r="P3" s="56" t="str">
        <f>IF(Q3="sim",(V$2*V$7)-(N3*V$7),"")</f>
        <v/>
      </c>
      <c r="Q3" s="42" t="s">
        <v>151</v>
      </c>
      <c r="R3" s="23"/>
      <c r="U3" s="61" t="s">
        <v>141</v>
      </c>
      <c r="V3" s="62">
        <v>30</v>
      </c>
    </row>
    <row r="4" spans="1:22" ht="28.5" x14ac:dyDescent="0.25">
      <c r="A4" s="1">
        <v>3</v>
      </c>
      <c r="B4" s="10">
        <v>45427</v>
      </c>
      <c r="C4" s="36">
        <v>1861</v>
      </c>
      <c r="D4" s="1" t="s">
        <v>30</v>
      </c>
      <c r="E4" s="7" t="s">
        <v>37</v>
      </c>
      <c r="F4" s="17" t="s">
        <v>158</v>
      </c>
      <c r="G4" s="17">
        <f t="shared" si="0"/>
        <v>71.61</v>
      </c>
      <c r="H4" s="21">
        <v>0</v>
      </c>
      <c r="I4" s="21">
        <f t="shared" ref="I4:I67" si="2">H4*G4</f>
        <v>0</v>
      </c>
      <c r="J4" s="21">
        <v>0</v>
      </c>
      <c r="K4" s="21">
        <v>0</v>
      </c>
      <c r="L4" s="21">
        <v>0</v>
      </c>
      <c r="M4" s="21">
        <v>0</v>
      </c>
      <c r="N4" s="21">
        <f t="shared" si="1"/>
        <v>0</v>
      </c>
      <c r="O4" s="42">
        <f>V$4-SUM(J4:M4)*V$5-IF(N4&gt;=1,V$6,0)</f>
        <v>700</v>
      </c>
      <c r="P4" s="56">
        <f>IF(Q4="sim",(V$2*V$7)-(N4*V$7),"")</f>
        <v>276</v>
      </c>
      <c r="Q4" s="42" t="s">
        <v>150</v>
      </c>
      <c r="R4" s="22"/>
      <c r="U4" s="52" t="s">
        <v>144</v>
      </c>
      <c r="V4" s="50">
        <v>700</v>
      </c>
    </row>
    <row r="5" spans="1:22" ht="28.5" x14ac:dyDescent="0.25">
      <c r="A5" s="1">
        <v>4</v>
      </c>
      <c r="B5" s="11">
        <v>44390</v>
      </c>
      <c r="C5" s="37">
        <v>883</v>
      </c>
      <c r="D5" s="2" t="s">
        <v>45</v>
      </c>
      <c r="E5" s="6" t="s">
        <v>83</v>
      </c>
      <c r="F5" s="17"/>
      <c r="G5" s="17" t="str">
        <f t="shared" si="0"/>
        <v>INSERIR FUNÇÃO</v>
      </c>
      <c r="H5" s="21">
        <v>1</v>
      </c>
      <c r="I5" s="21" t="e">
        <f t="shared" si="2"/>
        <v>#VALUE!</v>
      </c>
      <c r="J5" s="21">
        <v>0</v>
      </c>
      <c r="K5" s="21">
        <v>0</v>
      </c>
      <c r="L5" s="21">
        <v>0</v>
      </c>
      <c r="M5" s="21">
        <v>0</v>
      </c>
      <c r="N5" s="21">
        <f t="shared" si="1"/>
        <v>0</v>
      </c>
      <c r="O5" s="42">
        <f>V$4-SUM(J5:M5)*V$5-IF(N5&gt;=1,V$6,0)</f>
        <v>700</v>
      </c>
      <c r="P5" s="56" t="str">
        <f>IF(Q5="sim",(V$2*V$7)-(N5*V$7),"")</f>
        <v/>
      </c>
      <c r="Q5" s="42" t="s">
        <v>151</v>
      </c>
      <c r="R5" s="22"/>
      <c r="U5" s="52" t="s">
        <v>145</v>
      </c>
      <c r="V5" s="50">
        <v>23.33</v>
      </c>
    </row>
    <row r="6" spans="1:22" ht="28.5" x14ac:dyDescent="0.25">
      <c r="A6" s="1">
        <v>5</v>
      </c>
      <c r="B6" s="12">
        <v>45492</v>
      </c>
      <c r="C6" s="36">
        <v>1906</v>
      </c>
      <c r="D6" s="3" t="s">
        <v>9</v>
      </c>
      <c r="E6" s="19" t="s">
        <v>17</v>
      </c>
      <c r="F6" s="17"/>
      <c r="G6" s="17" t="str">
        <f t="shared" si="0"/>
        <v>INSERIR FUNÇÃO</v>
      </c>
      <c r="H6" s="21">
        <v>0</v>
      </c>
      <c r="I6" s="21" t="e">
        <f t="shared" si="2"/>
        <v>#VALUE!</v>
      </c>
      <c r="J6" s="21">
        <v>0</v>
      </c>
      <c r="K6" s="21">
        <v>0</v>
      </c>
      <c r="L6" s="21">
        <v>0</v>
      </c>
      <c r="M6" s="21">
        <v>0</v>
      </c>
      <c r="N6" s="21">
        <f t="shared" si="1"/>
        <v>0</v>
      </c>
      <c r="O6" s="42">
        <f>V$4-SUM(J6:M6)*V$5-IF(N6&gt;=1,V$6,0)</f>
        <v>700</v>
      </c>
      <c r="P6" s="56" t="str">
        <f>IF(Q6="sim",(V$2*V$7)-(N6*V$7),"")</f>
        <v/>
      </c>
      <c r="Q6" s="42" t="s">
        <v>151</v>
      </c>
      <c r="R6" s="22"/>
      <c r="U6" s="52" t="s">
        <v>146</v>
      </c>
      <c r="V6" s="50">
        <v>55</v>
      </c>
    </row>
    <row r="7" spans="1:22" ht="28.5" x14ac:dyDescent="0.25">
      <c r="A7" s="1">
        <v>6</v>
      </c>
      <c r="B7" s="13">
        <v>45107</v>
      </c>
      <c r="C7" s="4">
        <v>1645</v>
      </c>
      <c r="D7" s="4" t="s">
        <v>46</v>
      </c>
      <c r="E7" s="20" t="s">
        <v>84</v>
      </c>
      <c r="F7" s="17"/>
      <c r="G7" s="17" t="str">
        <f t="shared" si="0"/>
        <v>INSERIR FUNÇÃO</v>
      </c>
      <c r="H7" s="21">
        <v>0</v>
      </c>
      <c r="I7" s="21" t="e">
        <f t="shared" si="2"/>
        <v>#VALUE!</v>
      </c>
      <c r="J7" s="21">
        <v>0</v>
      </c>
      <c r="K7" s="21">
        <v>0</v>
      </c>
      <c r="L7" s="21">
        <v>0</v>
      </c>
      <c r="M7" s="21">
        <v>0</v>
      </c>
      <c r="N7" s="21">
        <f t="shared" si="1"/>
        <v>0</v>
      </c>
      <c r="O7" s="42">
        <f>V$4-SUM(J7:M7)*V$5-IF(N7&gt;=1,V$6,0)</f>
        <v>700</v>
      </c>
      <c r="P7" s="56">
        <f>IF(Q7="sim",(V$2*V$7)-(N7*V$7),"")</f>
        <v>276</v>
      </c>
      <c r="Q7" s="42" t="s">
        <v>150</v>
      </c>
      <c r="R7" s="22"/>
      <c r="U7" s="53" t="s">
        <v>147</v>
      </c>
      <c r="V7" s="51">
        <v>12</v>
      </c>
    </row>
    <row r="8" spans="1:22" ht="28.5" x14ac:dyDescent="0.25">
      <c r="A8" s="1">
        <v>7</v>
      </c>
      <c r="B8" s="13">
        <v>44421</v>
      </c>
      <c r="C8" s="4">
        <v>904</v>
      </c>
      <c r="D8" s="4" t="s">
        <v>47</v>
      </c>
      <c r="E8" s="7" t="s">
        <v>85</v>
      </c>
      <c r="F8" s="17"/>
      <c r="G8" s="17" t="str">
        <f t="shared" si="0"/>
        <v>INSERIR FUNÇÃO</v>
      </c>
      <c r="H8" s="21">
        <v>0</v>
      </c>
      <c r="I8" s="21" t="e">
        <f t="shared" si="2"/>
        <v>#VALUE!</v>
      </c>
      <c r="J8" s="21">
        <v>0</v>
      </c>
      <c r="K8" s="21">
        <v>0</v>
      </c>
      <c r="L8" s="21">
        <v>0</v>
      </c>
      <c r="M8" s="21">
        <v>0</v>
      </c>
      <c r="N8" s="21">
        <f t="shared" si="1"/>
        <v>0</v>
      </c>
      <c r="O8" s="42">
        <f>V$4-SUM(J8:M8)*V$5-IF(N8&gt;=1,V$6,0)</f>
        <v>700</v>
      </c>
      <c r="P8" s="56" t="str">
        <f>IF(Q8="sim",(V$2*V$7)-(N8*V$7),"")</f>
        <v/>
      </c>
      <c r="Q8" s="42" t="s">
        <v>151</v>
      </c>
      <c r="R8" s="22"/>
      <c r="U8" s="53" t="s">
        <v>152</v>
      </c>
      <c r="V8" s="54" t="s">
        <v>153</v>
      </c>
    </row>
    <row r="9" spans="1:22" ht="28.5" x14ac:dyDescent="0.25">
      <c r="A9" s="1">
        <v>8</v>
      </c>
      <c r="B9" s="13">
        <v>44616</v>
      </c>
      <c r="C9" s="29">
        <v>1075</v>
      </c>
      <c r="D9" s="4" t="s">
        <v>48</v>
      </c>
      <c r="E9" s="18" t="s">
        <v>86</v>
      </c>
      <c r="F9" s="17"/>
      <c r="G9" s="17" t="str">
        <f t="shared" si="0"/>
        <v>INSERIR FUNÇÃO</v>
      </c>
      <c r="H9" s="21">
        <v>0</v>
      </c>
      <c r="I9" s="21" t="e">
        <f t="shared" si="2"/>
        <v>#VALUE!</v>
      </c>
      <c r="J9" s="21">
        <v>0</v>
      </c>
      <c r="K9" s="21">
        <v>0</v>
      </c>
      <c r="L9" s="21">
        <v>0</v>
      </c>
      <c r="M9" s="21">
        <v>0</v>
      </c>
      <c r="N9" s="21">
        <f t="shared" si="1"/>
        <v>0</v>
      </c>
      <c r="O9" s="42">
        <f>V$4-SUM(J9:M9)*V$5-IF(N9&gt;=1,V$6,0)</f>
        <v>700</v>
      </c>
      <c r="P9" s="56" t="str">
        <f>IF(Q9="sim",(V$2*V$7)-(N9*V$7),"")</f>
        <v/>
      </c>
      <c r="Q9" s="42" t="s">
        <v>151</v>
      </c>
      <c r="R9" s="22"/>
      <c r="U9" s="53" t="s">
        <v>154</v>
      </c>
      <c r="V9" s="41" t="s">
        <v>155</v>
      </c>
    </row>
    <row r="10" spans="1:22" x14ac:dyDescent="0.25">
      <c r="A10" s="1">
        <v>9</v>
      </c>
      <c r="B10" s="10">
        <v>44273</v>
      </c>
      <c r="C10" s="36">
        <v>702</v>
      </c>
      <c r="D10" s="1" t="s">
        <v>23</v>
      </c>
      <c r="E10" s="7" t="s">
        <v>28</v>
      </c>
      <c r="F10" s="17"/>
      <c r="G10" s="17" t="str">
        <f t="shared" si="0"/>
        <v>INSERIR FUNÇÃO</v>
      </c>
      <c r="H10" s="21">
        <v>0</v>
      </c>
      <c r="I10" s="21" t="e">
        <f t="shared" si="2"/>
        <v>#VALUE!</v>
      </c>
      <c r="J10" s="21">
        <v>0</v>
      </c>
      <c r="K10" s="21">
        <v>0</v>
      </c>
      <c r="L10" s="21">
        <v>0</v>
      </c>
      <c r="M10" s="21">
        <v>0</v>
      </c>
      <c r="N10" s="21">
        <f t="shared" si="1"/>
        <v>0</v>
      </c>
      <c r="O10" s="42">
        <f>V$4-SUM(J10:M10)*V$5-IF(N10&gt;=1,V$6,0)</f>
        <v>700</v>
      </c>
      <c r="P10" s="56" t="str">
        <f>IF(Q10="sim",(V$2*V$7)-(N10*V$7),"")</f>
        <v/>
      </c>
      <c r="Q10" s="42" t="s">
        <v>151</v>
      </c>
      <c r="R10" s="22"/>
    </row>
    <row r="11" spans="1:22" x14ac:dyDescent="0.25">
      <c r="A11" s="1">
        <v>10</v>
      </c>
      <c r="B11" s="10">
        <v>44595</v>
      </c>
      <c r="C11" s="36">
        <v>1062</v>
      </c>
      <c r="D11" s="1" t="s">
        <v>34</v>
      </c>
      <c r="E11" s="7" t="s">
        <v>41</v>
      </c>
      <c r="F11" s="17"/>
      <c r="G11" s="17" t="str">
        <f t="shared" si="0"/>
        <v>INSERIR FUNÇÃO</v>
      </c>
      <c r="H11" s="21">
        <v>0</v>
      </c>
      <c r="I11" s="21" t="e">
        <f t="shared" si="2"/>
        <v>#VALUE!</v>
      </c>
      <c r="J11" s="21">
        <v>0</v>
      </c>
      <c r="K11" s="21">
        <v>0</v>
      </c>
      <c r="L11" s="21">
        <v>0</v>
      </c>
      <c r="M11" s="21">
        <v>0</v>
      </c>
      <c r="N11" s="21">
        <f t="shared" si="1"/>
        <v>0</v>
      </c>
      <c r="O11" s="42">
        <f>V$4-SUM(J11:M11)*V$5-IF(N11&gt;=1,V$6,0)</f>
        <v>700</v>
      </c>
      <c r="P11" s="56" t="str">
        <f>IF(Q11="sim",(V$2*V$7)-(N11*V$7),"")</f>
        <v/>
      </c>
      <c r="Q11" s="42" t="s">
        <v>151</v>
      </c>
      <c r="R11" s="22"/>
    </row>
    <row r="12" spans="1:22" x14ac:dyDescent="0.25">
      <c r="A12" s="1">
        <v>11</v>
      </c>
      <c r="B12" s="10">
        <v>44426</v>
      </c>
      <c r="C12" s="36">
        <v>912</v>
      </c>
      <c r="D12" s="1" t="s">
        <v>22</v>
      </c>
      <c r="E12" s="7" t="s">
        <v>27</v>
      </c>
      <c r="F12" s="17"/>
      <c r="G12" s="17" t="str">
        <f t="shared" si="0"/>
        <v>INSERIR FUNÇÃO</v>
      </c>
      <c r="H12" s="21">
        <v>0</v>
      </c>
      <c r="I12" s="21" t="e">
        <f t="shared" si="2"/>
        <v>#VALUE!</v>
      </c>
      <c r="J12" s="21">
        <v>0</v>
      </c>
      <c r="K12" s="21">
        <v>0</v>
      </c>
      <c r="L12" s="21">
        <v>0</v>
      </c>
      <c r="M12" s="21">
        <v>0</v>
      </c>
      <c r="N12" s="21">
        <f t="shared" si="1"/>
        <v>0</v>
      </c>
      <c r="O12" s="42">
        <f>V$4-SUM(J12:M12)*V$5-IF(N12&gt;=1,V$6,0)</f>
        <v>700</v>
      </c>
      <c r="P12" s="56" t="str">
        <f>IF(Q12="sim",(V$2*V$7)-(N12*V$7),"")</f>
        <v/>
      </c>
      <c r="Q12" s="42" t="s">
        <v>151</v>
      </c>
      <c r="R12" s="22"/>
    </row>
    <row r="13" spans="1:22" x14ac:dyDescent="0.25">
      <c r="A13" s="1">
        <v>12</v>
      </c>
      <c r="B13" s="11">
        <v>44250</v>
      </c>
      <c r="C13" s="37">
        <v>532</v>
      </c>
      <c r="D13" s="2" t="s">
        <v>49</v>
      </c>
      <c r="E13" s="6" t="s">
        <v>87</v>
      </c>
      <c r="F13" s="17"/>
      <c r="G13" s="17" t="str">
        <f t="shared" si="0"/>
        <v>INSERIR FUNÇÃO</v>
      </c>
      <c r="H13" s="21">
        <v>0</v>
      </c>
      <c r="I13" s="21" t="e">
        <f t="shared" si="2"/>
        <v>#VALUE!</v>
      </c>
      <c r="J13" s="21">
        <v>0</v>
      </c>
      <c r="K13" s="21">
        <v>0</v>
      </c>
      <c r="L13" s="21">
        <v>0</v>
      </c>
      <c r="M13" s="21">
        <v>0</v>
      </c>
      <c r="N13" s="21">
        <f t="shared" si="1"/>
        <v>0</v>
      </c>
      <c r="O13" s="42">
        <f>V$4-SUM(J13:M13)*V$5-IF(N13&gt;=1,V$6,0)</f>
        <v>700</v>
      </c>
      <c r="P13" s="56" t="str">
        <f>IF(Q13="sim",(V$2*V$7)-(N13*V$7),"")</f>
        <v/>
      </c>
      <c r="Q13" s="42" t="s">
        <v>151</v>
      </c>
      <c r="R13" s="22"/>
    </row>
    <row r="14" spans="1:22" x14ac:dyDescent="0.25">
      <c r="A14" s="1">
        <v>13</v>
      </c>
      <c r="B14" s="13">
        <v>45101</v>
      </c>
      <c r="C14" s="36">
        <v>1642</v>
      </c>
      <c r="D14" s="4" t="s">
        <v>127</v>
      </c>
      <c r="E14" s="7" t="s">
        <v>132</v>
      </c>
      <c r="F14" s="17"/>
      <c r="G14" s="17" t="str">
        <f t="shared" si="0"/>
        <v>INSERIR FUNÇÃO</v>
      </c>
      <c r="H14" s="21">
        <v>0</v>
      </c>
      <c r="I14" s="21" t="e">
        <f t="shared" si="2"/>
        <v>#VALUE!</v>
      </c>
      <c r="J14" s="21">
        <v>0</v>
      </c>
      <c r="K14" s="21">
        <v>0</v>
      </c>
      <c r="L14" s="21">
        <v>0</v>
      </c>
      <c r="M14" s="21">
        <v>0</v>
      </c>
      <c r="N14" s="21">
        <f t="shared" si="1"/>
        <v>0</v>
      </c>
      <c r="O14" s="42">
        <f>V$4-SUM(J14:M14)*V$5-IF(N14&gt;=1,V$6,0)</f>
        <v>700</v>
      </c>
      <c r="P14" s="56" t="str">
        <f>IF(Q14="sim",(V$2*V$7)-(N14*V$7),"")</f>
        <v/>
      </c>
      <c r="Q14" s="42" t="s">
        <v>151</v>
      </c>
      <c r="R14" s="22"/>
    </row>
    <row r="15" spans="1:22" x14ac:dyDescent="0.25">
      <c r="A15" s="1">
        <v>14</v>
      </c>
      <c r="B15" s="13">
        <v>45503</v>
      </c>
      <c r="C15" s="36">
        <v>1915</v>
      </c>
      <c r="D15" s="1" t="s">
        <v>50</v>
      </c>
      <c r="E15" s="7" t="s">
        <v>88</v>
      </c>
      <c r="F15" s="17"/>
      <c r="G15" s="17" t="str">
        <f t="shared" si="0"/>
        <v>INSERIR FUNÇÃO</v>
      </c>
      <c r="H15" s="21">
        <v>0</v>
      </c>
      <c r="I15" s="21" t="e">
        <f t="shared" si="2"/>
        <v>#VALUE!</v>
      </c>
      <c r="J15" s="21">
        <v>0</v>
      </c>
      <c r="K15" s="21">
        <v>0</v>
      </c>
      <c r="L15" s="21">
        <v>0</v>
      </c>
      <c r="M15" s="21">
        <v>0</v>
      </c>
      <c r="N15" s="21">
        <f t="shared" si="1"/>
        <v>0</v>
      </c>
      <c r="O15" s="42">
        <f>V$4-SUM(J15:M15)*V$5-IF(N15&gt;=1,V$6,0)</f>
        <v>700</v>
      </c>
      <c r="P15" s="56" t="str">
        <f>IF(Q15="sim",(V$2*V$7)-(N15*V$7),"")</f>
        <v/>
      </c>
      <c r="Q15" s="42" t="s">
        <v>151</v>
      </c>
      <c r="R15" s="22"/>
    </row>
    <row r="16" spans="1:22" x14ac:dyDescent="0.25">
      <c r="A16" s="1">
        <v>15</v>
      </c>
      <c r="B16" s="10">
        <v>45197</v>
      </c>
      <c r="C16" s="36">
        <v>1724</v>
      </c>
      <c r="D16" s="1" t="s">
        <v>51</v>
      </c>
      <c r="E16" s="7" t="s">
        <v>89</v>
      </c>
      <c r="F16" s="17"/>
      <c r="G16" s="17" t="str">
        <f t="shared" si="0"/>
        <v>INSERIR FUNÇÃO</v>
      </c>
      <c r="H16" s="21">
        <v>0</v>
      </c>
      <c r="I16" s="21" t="e">
        <f t="shared" si="2"/>
        <v>#VALUE!</v>
      </c>
      <c r="J16" s="21">
        <v>0</v>
      </c>
      <c r="K16" s="21">
        <v>0</v>
      </c>
      <c r="L16" s="21">
        <v>0</v>
      </c>
      <c r="M16" s="21">
        <v>0</v>
      </c>
      <c r="N16" s="21">
        <f t="shared" si="1"/>
        <v>0</v>
      </c>
      <c r="O16" s="42">
        <f>V$4-SUM(J16:M16)*V$5-IF(N16&gt;=1,V$6,0)</f>
        <v>700</v>
      </c>
      <c r="P16" s="56" t="str">
        <f>IF(Q16="sim",(V$2*V$7)-(N16*V$7),"")</f>
        <v/>
      </c>
      <c r="Q16" s="42" t="s">
        <v>151</v>
      </c>
      <c r="R16" s="22"/>
    </row>
    <row r="17" spans="1:18" x14ac:dyDescent="0.25">
      <c r="A17" s="1">
        <v>16</v>
      </c>
      <c r="B17" s="14">
        <v>44648</v>
      </c>
      <c r="C17" s="29">
        <v>1104</v>
      </c>
      <c r="D17" s="5" t="s">
        <v>128</v>
      </c>
      <c r="E17" s="7" t="s">
        <v>133</v>
      </c>
      <c r="F17" s="17"/>
      <c r="G17" s="17" t="str">
        <f t="shared" si="0"/>
        <v>INSERIR FUNÇÃO</v>
      </c>
      <c r="H17" s="21">
        <v>0</v>
      </c>
      <c r="I17" s="21" t="e">
        <f t="shared" si="2"/>
        <v>#VALUE!</v>
      </c>
      <c r="J17" s="21">
        <v>0</v>
      </c>
      <c r="K17" s="21">
        <v>0</v>
      </c>
      <c r="L17" s="21">
        <v>0</v>
      </c>
      <c r="M17" s="21">
        <v>0</v>
      </c>
      <c r="N17" s="21">
        <f t="shared" si="1"/>
        <v>0</v>
      </c>
      <c r="O17" s="42">
        <f>V$4-SUM(J17:M17)*V$5-IF(N17&gt;=1,V$6,0)</f>
        <v>700</v>
      </c>
      <c r="P17" s="56" t="str">
        <f>IF(Q17="sim",(V$2*V$7)-(N17*V$7),"")</f>
        <v/>
      </c>
      <c r="Q17" s="42" t="s">
        <v>151</v>
      </c>
      <c r="R17" s="22"/>
    </row>
    <row r="18" spans="1:18" x14ac:dyDescent="0.25">
      <c r="A18" s="1">
        <v>17</v>
      </c>
      <c r="B18" s="13">
        <v>44238</v>
      </c>
      <c r="C18" s="29">
        <v>420</v>
      </c>
      <c r="D18" s="4" t="s">
        <v>129</v>
      </c>
      <c r="E18" s="7" t="s">
        <v>134</v>
      </c>
      <c r="F18" s="17"/>
      <c r="G18" s="17" t="str">
        <f t="shared" si="0"/>
        <v>INSERIR FUNÇÃO</v>
      </c>
      <c r="H18" s="21">
        <v>0</v>
      </c>
      <c r="I18" s="21" t="e">
        <f t="shared" si="2"/>
        <v>#VALUE!</v>
      </c>
      <c r="J18" s="21">
        <v>0</v>
      </c>
      <c r="K18" s="21">
        <v>0</v>
      </c>
      <c r="L18" s="21">
        <v>0</v>
      </c>
      <c r="M18" s="21">
        <v>0</v>
      </c>
      <c r="N18" s="21">
        <f t="shared" si="1"/>
        <v>0</v>
      </c>
      <c r="O18" s="42">
        <f>V$4-SUM(J18:M18)*V$5-IF(N18&gt;=1,V$6,0)</f>
        <v>700</v>
      </c>
      <c r="P18" s="56" t="str">
        <f>IF(Q18="sim",(V$2*V$7)-(N18*V$7),"")</f>
        <v/>
      </c>
      <c r="Q18" s="42" t="s">
        <v>151</v>
      </c>
      <c r="R18" s="22"/>
    </row>
    <row r="19" spans="1:18" x14ac:dyDescent="0.25">
      <c r="A19" s="1">
        <v>18</v>
      </c>
      <c r="B19" s="10">
        <v>45190</v>
      </c>
      <c r="C19" s="36">
        <v>1719</v>
      </c>
      <c r="D19" s="1" t="s">
        <v>52</v>
      </c>
      <c r="E19" s="7" t="s">
        <v>90</v>
      </c>
      <c r="F19" s="17"/>
      <c r="G19" s="17" t="str">
        <f t="shared" si="0"/>
        <v>INSERIR FUNÇÃO</v>
      </c>
      <c r="H19" s="21">
        <v>0</v>
      </c>
      <c r="I19" s="21" t="e">
        <f t="shared" si="2"/>
        <v>#VALUE!</v>
      </c>
      <c r="J19" s="21">
        <v>0</v>
      </c>
      <c r="K19" s="21">
        <v>0</v>
      </c>
      <c r="L19" s="21">
        <v>0</v>
      </c>
      <c r="M19" s="21">
        <v>0</v>
      </c>
      <c r="N19" s="21">
        <f t="shared" si="1"/>
        <v>0</v>
      </c>
      <c r="O19" s="42">
        <f>V$4-SUM(J19:M19)*V$5-IF(N19&gt;=1,V$6,0)</f>
        <v>700</v>
      </c>
      <c r="P19" s="56" t="str">
        <f>IF(Q19="sim",(V$2*V$7)-(N19*V$7),"")</f>
        <v/>
      </c>
      <c r="Q19" s="42" t="s">
        <v>151</v>
      </c>
      <c r="R19" s="22"/>
    </row>
    <row r="20" spans="1:18" x14ac:dyDescent="0.25">
      <c r="A20" s="1">
        <v>19</v>
      </c>
      <c r="B20" s="10">
        <v>44257</v>
      </c>
      <c r="C20" s="36">
        <v>613</v>
      </c>
      <c r="D20" s="1" t="s">
        <v>53</v>
      </c>
      <c r="E20" s="7" t="s">
        <v>91</v>
      </c>
      <c r="F20" s="17"/>
      <c r="G20" s="17" t="str">
        <f t="shared" si="0"/>
        <v>INSERIR FUNÇÃO</v>
      </c>
      <c r="H20" s="21">
        <v>0</v>
      </c>
      <c r="I20" s="21" t="e">
        <f t="shared" si="2"/>
        <v>#VALUE!</v>
      </c>
      <c r="J20" s="21">
        <v>0</v>
      </c>
      <c r="K20" s="21">
        <v>0</v>
      </c>
      <c r="L20" s="21">
        <v>0</v>
      </c>
      <c r="M20" s="21">
        <v>0</v>
      </c>
      <c r="N20" s="21">
        <f t="shared" si="1"/>
        <v>0</v>
      </c>
      <c r="O20" s="42">
        <f>V$4-SUM(J20:M20)*V$5-IF(N20&gt;=1,V$6,0)</f>
        <v>700</v>
      </c>
      <c r="P20" s="56" t="str">
        <f>IF(Q20="sim",(V$2*V$7)-(N20*V$7),"")</f>
        <v/>
      </c>
      <c r="Q20" s="42" t="s">
        <v>151</v>
      </c>
      <c r="R20" s="22"/>
    </row>
    <row r="21" spans="1:18" x14ac:dyDescent="0.25">
      <c r="A21" s="1">
        <v>20</v>
      </c>
      <c r="B21" s="11">
        <v>44238</v>
      </c>
      <c r="C21" s="29">
        <v>363</v>
      </c>
      <c r="D21" s="2" t="s">
        <v>54</v>
      </c>
      <c r="E21" s="7" t="s">
        <v>92</v>
      </c>
      <c r="F21" s="17"/>
      <c r="G21" s="17" t="str">
        <f t="shared" si="0"/>
        <v>INSERIR FUNÇÃO</v>
      </c>
      <c r="H21" s="21">
        <v>0</v>
      </c>
      <c r="I21" s="21" t="e">
        <f t="shared" si="2"/>
        <v>#VALUE!</v>
      </c>
      <c r="J21" s="21">
        <v>0</v>
      </c>
      <c r="K21" s="21">
        <v>0</v>
      </c>
      <c r="L21" s="21">
        <v>0</v>
      </c>
      <c r="M21" s="21">
        <v>0</v>
      </c>
      <c r="N21" s="21">
        <f t="shared" si="1"/>
        <v>0</v>
      </c>
      <c r="O21" s="42">
        <f>V$4-SUM(J21:M21)*V$5-IF(N21&gt;=1,V$6,0)</f>
        <v>700</v>
      </c>
      <c r="P21" s="56" t="str">
        <f>IF(Q21="sim",(V$2*V$7)-(N21*V$7),"")</f>
        <v/>
      </c>
      <c r="Q21" s="42" t="s">
        <v>151</v>
      </c>
      <c r="R21" s="22"/>
    </row>
    <row r="22" spans="1:18" x14ac:dyDescent="0.25">
      <c r="A22" s="1">
        <v>21</v>
      </c>
      <c r="B22" s="10">
        <v>44273</v>
      </c>
      <c r="C22" s="36">
        <v>701</v>
      </c>
      <c r="D22" s="1" t="s">
        <v>21</v>
      </c>
      <c r="E22" s="7" t="s">
        <v>26</v>
      </c>
      <c r="F22" s="17"/>
      <c r="G22" s="17" t="str">
        <f t="shared" si="0"/>
        <v>INSERIR FUNÇÃO</v>
      </c>
      <c r="H22" s="21">
        <v>0</v>
      </c>
      <c r="I22" s="21" t="e">
        <f t="shared" si="2"/>
        <v>#VALUE!</v>
      </c>
      <c r="J22" s="21">
        <v>0</v>
      </c>
      <c r="K22" s="21">
        <v>0</v>
      </c>
      <c r="L22" s="21">
        <v>0</v>
      </c>
      <c r="M22" s="21">
        <v>0</v>
      </c>
      <c r="N22" s="21">
        <f t="shared" si="1"/>
        <v>0</v>
      </c>
      <c r="O22" s="42">
        <f>V$4-SUM(J22:M22)*V$5-IF(N22&gt;=1,V$6,0)</f>
        <v>700</v>
      </c>
      <c r="P22" s="56" t="str">
        <f>IF(Q22="sim",(V$2*V$7)-(N22*V$7),"")</f>
        <v/>
      </c>
      <c r="Q22" s="42" t="s">
        <v>151</v>
      </c>
      <c r="R22" s="22"/>
    </row>
    <row r="23" spans="1:18" x14ac:dyDescent="0.25">
      <c r="A23" s="1">
        <v>22</v>
      </c>
      <c r="B23" s="10">
        <v>44275</v>
      </c>
      <c r="C23" s="36">
        <v>710</v>
      </c>
      <c r="D23" s="1" t="s">
        <v>55</v>
      </c>
      <c r="E23" s="7" t="s">
        <v>93</v>
      </c>
      <c r="F23" s="17"/>
      <c r="G23" s="17" t="str">
        <f t="shared" si="0"/>
        <v>INSERIR FUNÇÃO</v>
      </c>
      <c r="H23" s="21">
        <v>0</v>
      </c>
      <c r="I23" s="21" t="e">
        <f t="shared" si="2"/>
        <v>#VALUE!</v>
      </c>
      <c r="J23" s="21">
        <v>0</v>
      </c>
      <c r="K23" s="21">
        <v>0</v>
      </c>
      <c r="L23" s="21">
        <v>0</v>
      </c>
      <c r="M23" s="21">
        <v>0</v>
      </c>
      <c r="N23" s="21">
        <f t="shared" si="1"/>
        <v>0</v>
      </c>
      <c r="O23" s="42">
        <f>V$4-SUM(J23:M23)*V$5-IF(N23&gt;=1,V$6,0)</f>
        <v>700</v>
      </c>
      <c r="P23" s="56" t="str">
        <f>IF(Q23="sim",(V$2*V$7)-(N23*V$7),"")</f>
        <v/>
      </c>
      <c r="Q23" s="42" t="s">
        <v>151</v>
      </c>
      <c r="R23" s="22"/>
    </row>
    <row r="24" spans="1:18" x14ac:dyDescent="0.25">
      <c r="A24" s="1">
        <v>23</v>
      </c>
      <c r="B24" s="31" t="s">
        <v>124</v>
      </c>
      <c r="C24" s="4"/>
      <c r="D24" s="28"/>
      <c r="E24" s="20"/>
      <c r="F24" s="17"/>
      <c r="G24" s="17" t="str">
        <f t="shared" si="0"/>
        <v>INSERIR FUNÇÃO</v>
      </c>
      <c r="H24" s="21">
        <v>0</v>
      </c>
      <c r="I24" s="21" t="e">
        <f t="shared" si="2"/>
        <v>#VALUE!</v>
      </c>
      <c r="J24" s="21">
        <v>0</v>
      </c>
      <c r="K24" s="21">
        <v>0</v>
      </c>
      <c r="L24" s="21">
        <v>0</v>
      </c>
      <c r="M24" s="21">
        <v>0</v>
      </c>
      <c r="N24" s="21">
        <f t="shared" si="1"/>
        <v>0</v>
      </c>
      <c r="O24" s="42">
        <f>V$4-SUM(J24:M24)*V$5-IF(N24&gt;=1,V$6,0)</f>
        <v>700</v>
      </c>
      <c r="P24" s="56" t="str">
        <f>IF(Q24="sim",(V$2*V$7)-(N24*V$7),"")</f>
        <v/>
      </c>
      <c r="Q24" s="42" t="s">
        <v>151</v>
      </c>
      <c r="R24" s="22"/>
    </row>
    <row r="25" spans="1:18" x14ac:dyDescent="0.25">
      <c r="A25" s="1">
        <v>24</v>
      </c>
      <c r="B25" s="11">
        <v>44238</v>
      </c>
      <c r="C25" s="29">
        <v>407</v>
      </c>
      <c r="D25" s="2" t="s">
        <v>56</v>
      </c>
      <c r="E25" s="7" t="s">
        <v>94</v>
      </c>
      <c r="F25" s="17"/>
      <c r="G25" s="17" t="str">
        <f t="shared" si="0"/>
        <v>INSERIR FUNÇÃO</v>
      </c>
      <c r="H25" s="21">
        <v>0</v>
      </c>
      <c r="I25" s="21" t="e">
        <f t="shared" si="2"/>
        <v>#VALUE!</v>
      </c>
      <c r="J25" s="21">
        <v>0</v>
      </c>
      <c r="K25" s="21">
        <v>0</v>
      </c>
      <c r="L25" s="21">
        <v>0</v>
      </c>
      <c r="M25" s="21">
        <v>0</v>
      </c>
      <c r="N25" s="21">
        <f t="shared" si="1"/>
        <v>0</v>
      </c>
      <c r="O25" s="42">
        <f>V$4-SUM(J25:M25)*V$5-IF(N25&gt;=1,V$6,0)</f>
        <v>700</v>
      </c>
      <c r="P25" s="56" t="str">
        <f>IF(Q25="sim",(V$2*V$7)-(N25*V$7),"")</f>
        <v/>
      </c>
      <c r="Q25" s="42" t="s">
        <v>151</v>
      </c>
      <c r="R25" s="22"/>
    </row>
    <row r="26" spans="1:18" x14ac:dyDescent="0.25">
      <c r="A26" s="1">
        <v>25</v>
      </c>
      <c r="B26" s="10">
        <v>44238</v>
      </c>
      <c r="C26" s="36">
        <v>358</v>
      </c>
      <c r="D26" s="1" t="s">
        <v>20</v>
      </c>
      <c r="E26" s="7" t="s">
        <v>25</v>
      </c>
      <c r="F26" s="17"/>
      <c r="G26" s="17" t="str">
        <f t="shared" si="0"/>
        <v>INSERIR FUNÇÃO</v>
      </c>
      <c r="H26" s="21">
        <v>0</v>
      </c>
      <c r="I26" s="21" t="e">
        <f t="shared" si="2"/>
        <v>#VALUE!</v>
      </c>
      <c r="J26" s="21">
        <v>0</v>
      </c>
      <c r="K26" s="21">
        <v>0</v>
      </c>
      <c r="L26" s="21">
        <v>0</v>
      </c>
      <c r="M26" s="21">
        <v>0</v>
      </c>
      <c r="N26" s="21">
        <f t="shared" si="1"/>
        <v>0</v>
      </c>
      <c r="O26" s="42">
        <f>V$4-SUM(J26:M26)*V$5-IF(N26&gt;=1,V$6,0)</f>
        <v>700</v>
      </c>
      <c r="P26" s="56" t="str">
        <f>IF(Q26="sim",(V$2*V$7)-(N26*V$7),"")</f>
        <v/>
      </c>
      <c r="Q26" s="42" t="s">
        <v>151</v>
      </c>
      <c r="R26" s="22"/>
    </row>
    <row r="27" spans="1:18" x14ac:dyDescent="0.25">
      <c r="A27" s="1">
        <v>26</v>
      </c>
      <c r="B27" s="10">
        <v>44667</v>
      </c>
      <c r="C27" s="36">
        <v>1219</v>
      </c>
      <c r="D27" s="1" t="s">
        <v>57</v>
      </c>
      <c r="E27" s="7" t="s">
        <v>95</v>
      </c>
      <c r="F27" s="17"/>
      <c r="G27" s="17" t="str">
        <f t="shared" si="0"/>
        <v>INSERIR FUNÇÃO</v>
      </c>
      <c r="H27" s="21">
        <v>0</v>
      </c>
      <c r="I27" s="21" t="e">
        <f t="shared" si="2"/>
        <v>#VALUE!</v>
      </c>
      <c r="J27" s="21">
        <v>0</v>
      </c>
      <c r="K27" s="21">
        <v>0</v>
      </c>
      <c r="L27" s="21">
        <v>0</v>
      </c>
      <c r="M27" s="21">
        <v>0</v>
      </c>
      <c r="N27" s="21">
        <f t="shared" si="1"/>
        <v>0</v>
      </c>
      <c r="O27" s="42">
        <f>V$4-SUM(J27:M27)*V$5-IF(N27&gt;=1,V$6,0)</f>
        <v>700</v>
      </c>
      <c r="P27" s="56" t="str">
        <f>IF(Q27="sim",(V$2*V$7)-(N27*V$7),"")</f>
        <v/>
      </c>
      <c r="Q27" s="42" t="s">
        <v>151</v>
      </c>
      <c r="R27" s="22"/>
    </row>
    <row r="28" spans="1:18" x14ac:dyDescent="0.25">
      <c r="A28" s="1">
        <v>27</v>
      </c>
      <c r="B28" s="10">
        <v>44238</v>
      </c>
      <c r="C28" s="36">
        <v>385</v>
      </c>
      <c r="D28" s="1" t="s">
        <v>58</v>
      </c>
      <c r="E28" s="7" t="s">
        <v>96</v>
      </c>
      <c r="F28" s="17"/>
      <c r="G28" s="17" t="str">
        <f t="shared" si="0"/>
        <v>INSERIR FUNÇÃO</v>
      </c>
      <c r="H28" s="21">
        <v>0</v>
      </c>
      <c r="I28" s="21" t="e">
        <f t="shared" si="2"/>
        <v>#VALUE!</v>
      </c>
      <c r="J28" s="21">
        <v>0</v>
      </c>
      <c r="K28" s="21">
        <v>0</v>
      </c>
      <c r="L28" s="21">
        <v>0</v>
      </c>
      <c r="M28" s="21">
        <v>0</v>
      </c>
      <c r="N28" s="21">
        <f t="shared" si="1"/>
        <v>0</v>
      </c>
      <c r="O28" s="42">
        <f>V$4-SUM(J28:M28)*V$5-IF(N28&gt;=1,V$6,0)</f>
        <v>700</v>
      </c>
      <c r="P28" s="56" t="str">
        <f>IF(Q28="sim",(V$2*V$7)-(N28*V$7),"")</f>
        <v/>
      </c>
      <c r="Q28" s="42" t="s">
        <v>151</v>
      </c>
      <c r="R28" s="22"/>
    </row>
    <row r="29" spans="1:18" x14ac:dyDescent="0.25">
      <c r="A29" s="1">
        <v>28</v>
      </c>
      <c r="B29" s="11">
        <v>45037</v>
      </c>
      <c r="C29" s="29">
        <v>1556</v>
      </c>
      <c r="D29" s="2" t="s">
        <v>59</v>
      </c>
      <c r="E29" s="7" t="s">
        <v>97</v>
      </c>
      <c r="F29" s="17"/>
      <c r="G29" s="17" t="str">
        <f t="shared" si="0"/>
        <v>INSERIR FUNÇÃO</v>
      </c>
      <c r="H29" s="21">
        <v>0</v>
      </c>
      <c r="I29" s="21" t="e">
        <f t="shared" si="2"/>
        <v>#VALUE!</v>
      </c>
      <c r="J29" s="21">
        <v>0</v>
      </c>
      <c r="K29" s="21">
        <v>0</v>
      </c>
      <c r="L29" s="21">
        <v>0</v>
      </c>
      <c r="M29" s="21">
        <v>0</v>
      </c>
      <c r="N29" s="21">
        <f t="shared" si="1"/>
        <v>0</v>
      </c>
      <c r="O29" s="42">
        <f>V$4-SUM(J29:M29)*V$5-IF(N29&gt;=1,V$6,0)</f>
        <v>700</v>
      </c>
      <c r="P29" s="56" t="str">
        <f>IF(Q29="sim",(V$2*V$7)-(N29*V$7),"")</f>
        <v/>
      </c>
      <c r="Q29" s="42" t="s">
        <v>151</v>
      </c>
      <c r="R29" s="22"/>
    </row>
    <row r="30" spans="1:18" x14ac:dyDescent="0.25">
      <c r="A30" s="1">
        <v>29</v>
      </c>
      <c r="B30" s="10">
        <v>44238</v>
      </c>
      <c r="C30" s="36">
        <v>415</v>
      </c>
      <c r="D30" s="1" t="s">
        <v>60</v>
      </c>
      <c r="E30" s="7" t="s">
        <v>98</v>
      </c>
      <c r="F30" s="17"/>
      <c r="G30" s="17" t="str">
        <f t="shared" si="0"/>
        <v>INSERIR FUNÇÃO</v>
      </c>
      <c r="H30" s="21">
        <v>0</v>
      </c>
      <c r="I30" s="21" t="e">
        <f t="shared" si="2"/>
        <v>#VALUE!</v>
      </c>
      <c r="J30" s="21">
        <v>0</v>
      </c>
      <c r="K30" s="21">
        <v>0</v>
      </c>
      <c r="L30" s="21">
        <v>0</v>
      </c>
      <c r="M30" s="21">
        <v>0</v>
      </c>
      <c r="N30" s="21">
        <f t="shared" si="1"/>
        <v>0</v>
      </c>
      <c r="O30" s="42">
        <f>V$4-SUM(J30:M30)*V$5-IF(N30&gt;=1,V$6,0)</f>
        <v>700</v>
      </c>
      <c r="P30" s="56" t="str">
        <f>IF(Q30="sim",(V$2*V$7)-(N30*V$7),"")</f>
        <v/>
      </c>
      <c r="Q30" s="42" t="s">
        <v>151</v>
      </c>
      <c r="R30" s="22"/>
    </row>
    <row r="31" spans="1:18" x14ac:dyDescent="0.25">
      <c r="A31" s="1">
        <v>30</v>
      </c>
      <c r="B31" s="10">
        <v>44259</v>
      </c>
      <c r="C31" s="36">
        <v>637</v>
      </c>
      <c r="D31" s="1" t="s">
        <v>8</v>
      </c>
      <c r="E31" s="7" t="s">
        <v>16</v>
      </c>
      <c r="F31" s="17"/>
      <c r="G31" s="17" t="str">
        <f t="shared" si="0"/>
        <v>INSERIR FUNÇÃO</v>
      </c>
      <c r="H31" s="21">
        <v>0</v>
      </c>
      <c r="I31" s="21" t="e">
        <f t="shared" si="2"/>
        <v>#VALUE!</v>
      </c>
      <c r="J31" s="21">
        <v>0</v>
      </c>
      <c r="K31" s="21">
        <v>0</v>
      </c>
      <c r="L31" s="21">
        <v>0</v>
      </c>
      <c r="M31" s="21">
        <v>0</v>
      </c>
      <c r="N31" s="21">
        <f t="shared" si="1"/>
        <v>0</v>
      </c>
      <c r="O31" s="42">
        <f>V$4-SUM(J31:M31)*V$5-IF(N31&gt;=1,V$6,0)</f>
        <v>700</v>
      </c>
      <c r="P31" s="56" t="str">
        <f>IF(Q31="sim",(V$2*V$7)-(N31*V$7),"")</f>
        <v/>
      </c>
      <c r="Q31" s="42" t="s">
        <v>151</v>
      </c>
      <c r="R31" s="22"/>
    </row>
    <row r="32" spans="1:18" x14ac:dyDescent="0.25">
      <c r="A32" s="1">
        <v>31</v>
      </c>
      <c r="B32" s="32">
        <v>45505</v>
      </c>
      <c r="C32" s="4">
        <v>1917</v>
      </c>
      <c r="D32" s="4" t="s">
        <v>61</v>
      </c>
      <c r="E32" s="7" t="s">
        <v>99</v>
      </c>
      <c r="F32" s="17"/>
      <c r="G32" s="17" t="str">
        <f t="shared" si="0"/>
        <v>INSERIR FUNÇÃO</v>
      </c>
      <c r="H32" s="21">
        <v>0</v>
      </c>
      <c r="I32" s="21" t="e">
        <f t="shared" si="2"/>
        <v>#VALUE!</v>
      </c>
      <c r="J32" s="21">
        <v>0</v>
      </c>
      <c r="K32" s="21">
        <v>0</v>
      </c>
      <c r="L32" s="21">
        <v>0</v>
      </c>
      <c r="M32" s="21">
        <v>0</v>
      </c>
      <c r="N32" s="21">
        <f t="shared" si="1"/>
        <v>0</v>
      </c>
      <c r="O32" s="42">
        <f>V$4-SUM(J32:M32)*V$5-IF(N32&gt;=1,V$6,0)</f>
        <v>700</v>
      </c>
      <c r="P32" s="56" t="str">
        <f>IF(Q32="sim",(V$2*V$7)-(N32*V$7),"")</f>
        <v/>
      </c>
      <c r="Q32" s="42" t="s">
        <v>151</v>
      </c>
      <c r="R32" s="22"/>
    </row>
    <row r="33" spans="1:18" x14ac:dyDescent="0.25">
      <c r="A33" s="1">
        <v>32</v>
      </c>
      <c r="B33" s="10">
        <v>44294</v>
      </c>
      <c r="C33" s="38">
        <v>749</v>
      </c>
      <c r="D33" s="1" t="s">
        <v>62</v>
      </c>
      <c r="E33" s="7" t="s">
        <v>100</v>
      </c>
      <c r="F33" s="17"/>
      <c r="G33" s="17" t="str">
        <f t="shared" si="0"/>
        <v>INSERIR FUNÇÃO</v>
      </c>
      <c r="H33" s="21">
        <v>0</v>
      </c>
      <c r="I33" s="21" t="e">
        <f t="shared" si="2"/>
        <v>#VALUE!</v>
      </c>
      <c r="J33" s="21">
        <v>0</v>
      </c>
      <c r="K33" s="21">
        <v>0</v>
      </c>
      <c r="L33" s="21">
        <v>0</v>
      </c>
      <c r="M33" s="21">
        <v>0</v>
      </c>
      <c r="N33" s="21">
        <f t="shared" si="1"/>
        <v>0</v>
      </c>
      <c r="O33" s="42">
        <f>V$4-SUM(J33:M33)*V$5-IF(N33&gt;=1,V$6,0)</f>
        <v>700</v>
      </c>
      <c r="P33" s="56" t="str">
        <f>IF(Q33="sim",(V$2*V$7)-(N33*V$7),"")</f>
        <v/>
      </c>
      <c r="Q33" s="42" t="s">
        <v>151</v>
      </c>
      <c r="R33" s="22"/>
    </row>
    <row r="34" spans="1:18" x14ac:dyDescent="0.25">
      <c r="A34" s="1">
        <v>33</v>
      </c>
      <c r="B34" s="11">
        <v>45343</v>
      </c>
      <c r="C34" s="29">
        <v>1805</v>
      </c>
      <c r="D34" s="2" t="s">
        <v>63</v>
      </c>
      <c r="E34" s="7" t="s">
        <v>101</v>
      </c>
      <c r="F34" s="17"/>
      <c r="G34" s="17" t="str">
        <f t="shared" si="0"/>
        <v>INSERIR FUNÇÃO</v>
      </c>
      <c r="H34" s="21">
        <v>0</v>
      </c>
      <c r="I34" s="21" t="e">
        <f t="shared" si="2"/>
        <v>#VALUE!</v>
      </c>
      <c r="J34" s="21">
        <v>0</v>
      </c>
      <c r="K34" s="21">
        <v>0</v>
      </c>
      <c r="L34" s="21">
        <v>0</v>
      </c>
      <c r="M34" s="21">
        <v>0</v>
      </c>
      <c r="N34" s="21">
        <f t="shared" si="1"/>
        <v>0</v>
      </c>
      <c r="O34" s="42">
        <f>V$4-SUM(J34:M34)*V$5-IF(N34&gt;=1,V$6,0)</f>
        <v>700</v>
      </c>
      <c r="P34" s="56" t="str">
        <f>IF(Q34="sim",(V$2*V$7)-(N34*V$7),"")</f>
        <v/>
      </c>
      <c r="Q34" s="42" t="s">
        <v>151</v>
      </c>
      <c r="R34" s="22"/>
    </row>
    <row r="35" spans="1:18" x14ac:dyDescent="0.25">
      <c r="A35" s="1">
        <v>34</v>
      </c>
      <c r="B35" s="10">
        <v>44511</v>
      </c>
      <c r="C35" s="36">
        <v>985</v>
      </c>
      <c r="D35" s="1" t="s">
        <v>24</v>
      </c>
      <c r="E35" s="7" t="s">
        <v>29</v>
      </c>
      <c r="F35" s="17"/>
      <c r="G35" s="17" t="str">
        <f t="shared" si="0"/>
        <v>INSERIR FUNÇÃO</v>
      </c>
      <c r="H35" s="21">
        <v>0</v>
      </c>
      <c r="I35" s="21" t="e">
        <f t="shared" si="2"/>
        <v>#VALUE!</v>
      </c>
      <c r="J35" s="21">
        <v>0</v>
      </c>
      <c r="K35" s="21">
        <v>0</v>
      </c>
      <c r="L35" s="21">
        <v>0</v>
      </c>
      <c r="M35" s="21">
        <v>0</v>
      </c>
      <c r="N35" s="21">
        <f t="shared" si="1"/>
        <v>0</v>
      </c>
      <c r="O35" s="42">
        <f>V$4-SUM(J35:M35)*V$5-IF(N35&gt;=1,V$6,0)</f>
        <v>700</v>
      </c>
      <c r="P35" s="56" t="str">
        <f>IF(Q35="sim",(V$2*V$7)-(N35*V$7),"")</f>
        <v/>
      </c>
      <c r="Q35" s="42" t="s">
        <v>151</v>
      </c>
      <c r="R35" s="22"/>
    </row>
    <row r="36" spans="1:18" x14ac:dyDescent="0.25">
      <c r="A36" s="1">
        <v>35</v>
      </c>
      <c r="B36" s="10">
        <v>45437</v>
      </c>
      <c r="C36" s="36">
        <v>1876</v>
      </c>
      <c r="D36" s="1" t="s">
        <v>7</v>
      </c>
      <c r="E36" s="7" t="s">
        <v>15</v>
      </c>
      <c r="F36" s="17"/>
      <c r="G36" s="17" t="str">
        <f t="shared" si="0"/>
        <v>INSERIR FUNÇÃO</v>
      </c>
      <c r="H36" s="21">
        <v>0</v>
      </c>
      <c r="I36" s="21" t="e">
        <f t="shared" si="2"/>
        <v>#VALUE!</v>
      </c>
      <c r="J36" s="21">
        <v>0</v>
      </c>
      <c r="K36" s="21">
        <v>0</v>
      </c>
      <c r="L36" s="21">
        <v>0</v>
      </c>
      <c r="M36" s="21">
        <v>0</v>
      </c>
      <c r="N36" s="21">
        <f t="shared" si="1"/>
        <v>0</v>
      </c>
      <c r="O36" s="42">
        <f>V$4-SUM(J36:M36)*V$5-IF(N36&gt;=1,V$6,0)</f>
        <v>700</v>
      </c>
      <c r="P36" s="56" t="str">
        <f>IF(Q36="sim",(V$2*V$7)-(N36*V$7),"")</f>
        <v/>
      </c>
      <c r="Q36" s="42" t="s">
        <v>151</v>
      </c>
      <c r="R36" s="22"/>
    </row>
    <row r="37" spans="1:18" x14ac:dyDescent="0.25">
      <c r="A37" s="1">
        <v>36</v>
      </c>
      <c r="B37" s="13">
        <v>45251</v>
      </c>
      <c r="C37" s="36">
        <v>1747</v>
      </c>
      <c r="D37" s="4" t="s">
        <v>64</v>
      </c>
      <c r="E37" s="7" t="s">
        <v>102</v>
      </c>
      <c r="F37" s="17"/>
      <c r="G37" s="17" t="str">
        <f t="shared" si="0"/>
        <v>INSERIR FUNÇÃO</v>
      </c>
      <c r="H37" s="21">
        <v>0</v>
      </c>
      <c r="I37" s="21" t="e">
        <f t="shared" si="2"/>
        <v>#VALUE!</v>
      </c>
      <c r="J37" s="21">
        <v>0</v>
      </c>
      <c r="K37" s="21">
        <v>0</v>
      </c>
      <c r="L37" s="21">
        <v>0</v>
      </c>
      <c r="M37" s="21">
        <v>0</v>
      </c>
      <c r="N37" s="21">
        <f t="shared" si="1"/>
        <v>0</v>
      </c>
      <c r="O37" s="42">
        <f>V$4-SUM(J37:M37)*V$5-IF(N37&gt;=1,V$6,0)</f>
        <v>700</v>
      </c>
      <c r="P37" s="56" t="str">
        <f>IF(Q37="sim",(V$2*V$7)-(N37*V$7),"")</f>
        <v/>
      </c>
      <c r="Q37" s="42" t="s">
        <v>151</v>
      </c>
      <c r="R37" s="22"/>
    </row>
    <row r="38" spans="1:18" x14ac:dyDescent="0.25">
      <c r="A38" s="1">
        <v>37</v>
      </c>
      <c r="B38" s="11">
        <v>44268</v>
      </c>
      <c r="C38" s="29">
        <v>659</v>
      </c>
      <c r="D38" s="2" t="s">
        <v>65</v>
      </c>
      <c r="E38" s="7" t="s">
        <v>103</v>
      </c>
      <c r="F38" s="17"/>
      <c r="G38" s="17" t="str">
        <f t="shared" si="0"/>
        <v>INSERIR FUNÇÃO</v>
      </c>
      <c r="H38" s="21">
        <v>0</v>
      </c>
      <c r="I38" s="21" t="e">
        <f t="shared" si="2"/>
        <v>#VALUE!</v>
      </c>
      <c r="J38" s="21">
        <v>0</v>
      </c>
      <c r="K38" s="21">
        <v>0</v>
      </c>
      <c r="L38" s="21">
        <v>0</v>
      </c>
      <c r="M38" s="21">
        <v>0</v>
      </c>
      <c r="N38" s="21">
        <f t="shared" si="1"/>
        <v>0</v>
      </c>
      <c r="O38" s="42">
        <f>V$4-SUM(J38:M38)*V$5-IF(N38&gt;=1,V$6,0)</f>
        <v>700</v>
      </c>
      <c r="P38" s="56" t="str">
        <f>IF(Q38="sim",(V$2*V$7)-(N38*V$7),"")</f>
        <v/>
      </c>
      <c r="Q38" s="42" t="s">
        <v>151</v>
      </c>
      <c r="R38" s="22"/>
    </row>
    <row r="39" spans="1:18" x14ac:dyDescent="0.25">
      <c r="A39" s="1">
        <v>38</v>
      </c>
      <c r="B39" s="10">
        <v>44249</v>
      </c>
      <c r="C39" s="36">
        <v>525</v>
      </c>
      <c r="D39" s="1" t="s">
        <v>32</v>
      </c>
      <c r="E39" s="7" t="s">
        <v>39</v>
      </c>
      <c r="F39" s="17"/>
      <c r="G39" s="17" t="str">
        <f t="shared" si="0"/>
        <v>INSERIR FUNÇÃO</v>
      </c>
      <c r="H39" s="21">
        <v>0</v>
      </c>
      <c r="I39" s="21" t="e">
        <f t="shared" si="2"/>
        <v>#VALUE!</v>
      </c>
      <c r="J39" s="21">
        <v>0</v>
      </c>
      <c r="K39" s="21">
        <v>0</v>
      </c>
      <c r="L39" s="21">
        <v>0</v>
      </c>
      <c r="M39" s="21">
        <v>0</v>
      </c>
      <c r="N39" s="21">
        <f t="shared" si="1"/>
        <v>0</v>
      </c>
      <c r="O39" s="42">
        <f>V$4-SUM(J39:M39)*V$5-IF(N39&gt;=1,V$6,0)</f>
        <v>700</v>
      </c>
      <c r="P39" s="56" t="str">
        <f>IF(Q39="sim",(V$2*V$7)-(N39*V$7),"")</f>
        <v/>
      </c>
      <c r="Q39" s="42" t="s">
        <v>151</v>
      </c>
      <c r="R39" s="22"/>
    </row>
    <row r="40" spans="1:18" x14ac:dyDescent="0.25">
      <c r="A40" s="1">
        <v>39</v>
      </c>
      <c r="B40" s="33">
        <v>45519</v>
      </c>
      <c r="C40" s="4">
        <v>1921</v>
      </c>
      <c r="D40" s="29" t="s">
        <v>66</v>
      </c>
      <c r="E40" s="19" t="s">
        <v>104</v>
      </c>
      <c r="F40" s="17"/>
      <c r="G40" s="17" t="str">
        <f t="shared" si="0"/>
        <v>INSERIR FUNÇÃO</v>
      </c>
      <c r="H40" s="21">
        <v>0</v>
      </c>
      <c r="I40" s="21" t="e">
        <f t="shared" si="2"/>
        <v>#VALUE!</v>
      </c>
      <c r="J40" s="21">
        <v>0</v>
      </c>
      <c r="K40" s="21">
        <v>0</v>
      </c>
      <c r="L40" s="21">
        <v>0</v>
      </c>
      <c r="M40" s="21">
        <v>0</v>
      </c>
      <c r="N40" s="21">
        <f t="shared" si="1"/>
        <v>0</v>
      </c>
      <c r="O40" s="42">
        <f>V$4-SUM(J40:M40)*V$5-IF(N40&gt;=1,V$6,0)</f>
        <v>700</v>
      </c>
      <c r="P40" s="56" t="str">
        <f>IF(Q40="sim",(V$2*V$7)-(N40*V$7),"")</f>
        <v/>
      </c>
      <c r="Q40" s="42" t="s">
        <v>151</v>
      </c>
      <c r="R40" s="22"/>
    </row>
    <row r="41" spans="1:18" x14ac:dyDescent="0.25">
      <c r="A41" s="1">
        <v>40</v>
      </c>
      <c r="B41" s="31" t="s">
        <v>124</v>
      </c>
      <c r="C41" s="4"/>
      <c r="D41" s="28"/>
      <c r="E41" s="20"/>
      <c r="F41" s="17"/>
      <c r="G41" s="17" t="str">
        <f t="shared" si="0"/>
        <v>INSERIR FUNÇÃO</v>
      </c>
      <c r="H41" s="21">
        <v>0</v>
      </c>
      <c r="I41" s="21" t="e">
        <f t="shared" si="2"/>
        <v>#VALUE!</v>
      </c>
      <c r="J41" s="21">
        <v>0</v>
      </c>
      <c r="K41" s="21">
        <v>0</v>
      </c>
      <c r="L41" s="21">
        <v>0</v>
      </c>
      <c r="M41" s="21">
        <v>0</v>
      </c>
      <c r="N41" s="21">
        <f t="shared" si="1"/>
        <v>0</v>
      </c>
      <c r="O41" s="42">
        <f>V$4-SUM(J41:M41)*V$5-IF(N41&gt;=1,V$6,0)</f>
        <v>700</v>
      </c>
      <c r="P41" s="56" t="str">
        <f>IF(Q41="sim",(V$2*V$7)-(N41*V$7),"")</f>
        <v/>
      </c>
      <c r="Q41" s="42" t="s">
        <v>151</v>
      </c>
      <c r="R41" s="22"/>
    </row>
    <row r="42" spans="1:18" x14ac:dyDescent="0.25">
      <c r="A42" s="1">
        <v>41</v>
      </c>
      <c r="B42" s="11">
        <v>45394</v>
      </c>
      <c r="C42" s="29">
        <v>1847</v>
      </c>
      <c r="D42" s="2" t="s">
        <v>67</v>
      </c>
      <c r="E42" s="7" t="s">
        <v>105</v>
      </c>
      <c r="F42" s="17"/>
      <c r="G42" s="17" t="str">
        <f t="shared" si="0"/>
        <v>INSERIR FUNÇÃO</v>
      </c>
      <c r="H42" s="21">
        <v>0</v>
      </c>
      <c r="I42" s="21" t="e">
        <f t="shared" si="2"/>
        <v>#VALUE!</v>
      </c>
      <c r="J42" s="21">
        <v>0</v>
      </c>
      <c r="K42" s="21">
        <v>0</v>
      </c>
      <c r="L42" s="21">
        <v>0</v>
      </c>
      <c r="M42" s="21">
        <v>0</v>
      </c>
      <c r="N42" s="21">
        <f t="shared" si="1"/>
        <v>0</v>
      </c>
      <c r="O42" s="42">
        <f>V$4-SUM(J42:M42)*V$5-IF(N42&gt;=1,V$6,0)</f>
        <v>700</v>
      </c>
      <c r="P42" s="56" t="str">
        <f>IF(Q42="sim",(V$2*V$7)-(N42*V$7),"")</f>
        <v/>
      </c>
      <c r="Q42" s="42" t="s">
        <v>151</v>
      </c>
      <c r="R42" s="22"/>
    </row>
    <row r="43" spans="1:18" x14ac:dyDescent="0.25">
      <c r="A43" s="1">
        <v>42</v>
      </c>
      <c r="B43" s="13">
        <v>44670</v>
      </c>
      <c r="C43" s="36">
        <v>1225</v>
      </c>
      <c r="D43" s="4" t="s">
        <v>130</v>
      </c>
      <c r="E43" s="7" t="s">
        <v>135</v>
      </c>
      <c r="F43" s="17"/>
      <c r="G43" s="17" t="str">
        <f t="shared" si="0"/>
        <v>INSERIR FUNÇÃO</v>
      </c>
      <c r="H43" s="21">
        <v>0</v>
      </c>
      <c r="I43" s="21" t="e">
        <f t="shared" si="2"/>
        <v>#VALUE!</v>
      </c>
      <c r="J43" s="21">
        <v>0</v>
      </c>
      <c r="K43" s="21">
        <v>0</v>
      </c>
      <c r="L43" s="21">
        <v>0</v>
      </c>
      <c r="M43" s="21">
        <v>0</v>
      </c>
      <c r="N43" s="21">
        <f t="shared" si="1"/>
        <v>0</v>
      </c>
      <c r="O43" s="42">
        <f>V$4-SUM(J43:M43)*V$5-IF(N43&gt;=1,V$6,0)</f>
        <v>700</v>
      </c>
      <c r="P43" s="56" t="str">
        <f>IF(Q43="sim",(V$2*V$7)-(N43*V$7),"")</f>
        <v/>
      </c>
      <c r="Q43" s="42" t="s">
        <v>151</v>
      </c>
      <c r="R43" s="22"/>
    </row>
    <row r="44" spans="1:18" x14ac:dyDescent="0.25">
      <c r="A44" s="1">
        <v>43</v>
      </c>
      <c r="B44" s="10">
        <v>44372</v>
      </c>
      <c r="C44" s="36">
        <v>867</v>
      </c>
      <c r="D44" s="1" t="s">
        <v>68</v>
      </c>
      <c r="E44" s="7" t="s">
        <v>106</v>
      </c>
      <c r="F44" s="17"/>
      <c r="G44" s="17" t="str">
        <f t="shared" si="0"/>
        <v>INSERIR FUNÇÃO</v>
      </c>
      <c r="H44" s="21">
        <v>0</v>
      </c>
      <c r="I44" s="21" t="e">
        <f t="shared" si="2"/>
        <v>#VALUE!</v>
      </c>
      <c r="J44" s="21">
        <v>0</v>
      </c>
      <c r="K44" s="21">
        <v>0</v>
      </c>
      <c r="L44" s="21">
        <v>0</v>
      </c>
      <c r="M44" s="21">
        <v>0</v>
      </c>
      <c r="N44" s="21">
        <f t="shared" si="1"/>
        <v>0</v>
      </c>
      <c r="O44" s="42">
        <f>V$4-SUM(J44:M44)*V$5-IF(N44&gt;=1,V$6,0)</f>
        <v>700</v>
      </c>
      <c r="P44" s="56" t="str">
        <f>IF(Q44="sim",(V$2*V$7)-(N44*V$7),"")</f>
        <v/>
      </c>
      <c r="Q44" s="42" t="s">
        <v>151</v>
      </c>
      <c r="R44" s="22"/>
    </row>
    <row r="45" spans="1:18" x14ac:dyDescent="0.25">
      <c r="A45" s="1">
        <v>44</v>
      </c>
      <c r="B45" s="10">
        <v>44238</v>
      </c>
      <c r="C45" s="36">
        <v>408</v>
      </c>
      <c r="D45" s="1" t="s">
        <v>33</v>
      </c>
      <c r="E45" s="7" t="s">
        <v>40</v>
      </c>
      <c r="F45" s="17"/>
      <c r="G45" s="17" t="str">
        <f t="shared" si="0"/>
        <v>INSERIR FUNÇÃO</v>
      </c>
      <c r="H45" s="21">
        <v>0</v>
      </c>
      <c r="I45" s="21" t="e">
        <f t="shared" si="2"/>
        <v>#VALUE!</v>
      </c>
      <c r="J45" s="21">
        <v>0</v>
      </c>
      <c r="K45" s="21">
        <v>0</v>
      </c>
      <c r="L45" s="21">
        <v>0</v>
      </c>
      <c r="M45" s="21">
        <v>0</v>
      </c>
      <c r="N45" s="21">
        <f t="shared" si="1"/>
        <v>0</v>
      </c>
      <c r="O45" s="42">
        <f>V$4-SUM(J45:M45)*V$5-IF(N45&gt;=1,V$6,0)</f>
        <v>700</v>
      </c>
      <c r="P45" s="56" t="str">
        <f>IF(Q45="sim",(V$2*V$7)-(N45*V$7),"")</f>
        <v/>
      </c>
      <c r="Q45" s="42" t="s">
        <v>151</v>
      </c>
      <c r="R45" s="22"/>
    </row>
    <row r="46" spans="1:18" x14ac:dyDescent="0.25">
      <c r="A46" s="1">
        <v>45</v>
      </c>
      <c r="B46" s="11">
        <v>44238</v>
      </c>
      <c r="C46" s="29">
        <v>382</v>
      </c>
      <c r="D46" s="2" t="s">
        <v>5</v>
      </c>
      <c r="E46" s="7" t="s">
        <v>13</v>
      </c>
      <c r="F46" s="17"/>
      <c r="G46" s="17" t="str">
        <f t="shared" si="0"/>
        <v>INSERIR FUNÇÃO</v>
      </c>
      <c r="H46" s="21">
        <v>0</v>
      </c>
      <c r="I46" s="21" t="e">
        <f t="shared" si="2"/>
        <v>#VALUE!</v>
      </c>
      <c r="J46" s="21">
        <v>0</v>
      </c>
      <c r="K46" s="21">
        <v>0</v>
      </c>
      <c r="L46" s="21">
        <v>0</v>
      </c>
      <c r="M46" s="21">
        <v>0</v>
      </c>
      <c r="N46" s="21">
        <f t="shared" si="1"/>
        <v>0</v>
      </c>
      <c r="O46" s="42">
        <f>V$4-SUM(J46:M46)*V$5-IF(N46&gt;=1,V$6,0)</f>
        <v>700</v>
      </c>
      <c r="P46" s="56" t="str">
        <f>IF(Q46="sim",(V$2*V$7)-(N46*V$7),"")</f>
        <v/>
      </c>
      <c r="Q46" s="42" t="s">
        <v>151</v>
      </c>
      <c r="R46" s="22"/>
    </row>
    <row r="47" spans="1:18" x14ac:dyDescent="0.25">
      <c r="A47" s="1">
        <v>46</v>
      </c>
      <c r="B47" s="10">
        <v>44264</v>
      </c>
      <c r="C47" s="36">
        <v>648</v>
      </c>
      <c r="D47" s="1" t="s">
        <v>69</v>
      </c>
      <c r="E47" s="7" t="s">
        <v>107</v>
      </c>
      <c r="F47" s="17"/>
      <c r="G47" s="17" t="str">
        <f t="shared" si="0"/>
        <v>INSERIR FUNÇÃO</v>
      </c>
      <c r="H47" s="21">
        <v>0</v>
      </c>
      <c r="I47" s="21" t="e">
        <f t="shared" si="2"/>
        <v>#VALUE!</v>
      </c>
      <c r="J47" s="21">
        <v>0</v>
      </c>
      <c r="K47" s="21">
        <v>0</v>
      </c>
      <c r="L47" s="21">
        <v>0</v>
      </c>
      <c r="M47" s="21">
        <v>0</v>
      </c>
      <c r="N47" s="21">
        <f t="shared" si="1"/>
        <v>0</v>
      </c>
      <c r="O47" s="42">
        <f>V$4-SUM(J47:M47)*V$5-IF(N47&gt;=1,V$6,0)</f>
        <v>700</v>
      </c>
      <c r="P47" s="56" t="str">
        <f>IF(Q47="sim",(V$2*V$7)-(N47*V$7),"")</f>
        <v/>
      </c>
      <c r="Q47" s="42" t="s">
        <v>151</v>
      </c>
      <c r="R47" s="22"/>
    </row>
    <row r="48" spans="1:18" x14ac:dyDescent="0.25">
      <c r="A48" s="1">
        <v>47</v>
      </c>
      <c r="B48" s="10">
        <v>44414</v>
      </c>
      <c r="C48" s="36">
        <v>901</v>
      </c>
      <c r="D48" s="1" t="s">
        <v>70</v>
      </c>
      <c r="E48" s="7" t="s">
        <v>108</v>
      </c>
      <c r="F48" s="17"/>
      <c r="G48" s="17" t="str">
        <f t="shared" si="0"/>
        <v>INSERIR FUNÇÃO</v>
      </c>
      <c r="H48" s="21">
        <v>0</v>
      </c>
      <c r="I48" s="21" t="e">
        <f t="shared" si="2"/>
        <v>#VALUE!</v>
      </c>
      <c r="J48" s="21">
        <v>0</v>
      </c>
      <c r="K48" s="21">
        <v>0</v>
      </c>
      <c r="L48" s="21">
        <v>0</v>
      </c>
      <c r="M48" s="21">
        <v>0</v>
      </c>
      <c r="N48" s="21">
        <f t="shared" si="1"/>
        <v>0</v>
      </c>
      <c r="O48" s="42">
        <f>V$4-SUM(J48:M48)*V$5-IF(N48&gt;=1,V$6,0)</f>
        <v>700</v>
      </c>
      <c r="P48" s="56">
        <f>IF(Q48="sim",(V$2*V$7)-(N48*V$7),"")</f>
        <v>276</v>
      </c>
      <c r="Q48" s="42" t="s">
        <v>150</v>
      </c>
      <c r="R48" s="22"/>
    </row>
    <row r="49" spans="1:18" x14ac:dyDescent="0.25">
      <c r="A49" s="1">
        <v>48</v>
      </c>
      <c r="B49" s="10">
        <v>44670</v>
      </c>
      <c r="C49" s="36">
        <v>1222</v>
      </c>
      <c r="D49" s="1" t="s">
        <v>71</v>
      </c>
      <c r="E49" s="7" t="s">
        <v>109</v>
      </c>
      <c r="F49" s="17"/>
      <c r="G49" s="17" t="str">
        <f t="shared" si="0"/>
        <v>INSERIR FUNÇÃO</v>
      </c>
      <c r="H49" s="21">
        <v>0</v>
      </c>
      <c r="I49" s="21" t="e">
        <f t="shared" si="2"/>
        <v>#VALUE!</v>
      </c>
      <c r="J49" s="21">
        <v>0</v>
      </c>
      <c r="K49" s="21">
        <v>0</v>
      </c>
      <c r="L49" s="21">
        <v>0</v>
      </c>
      <c r="M49" s="21">
        <v>0</v>
      </c>
      <c r="N49" s="21">
        <f t="shared" si="1"/>
        <v>0</v>
      </c>
      <c r="O49" s="42">
        <f>V$4-SUM(J49:M49)*V$5-IF(N49&gt;=1,V$6,0)</f>
        <v>700</v>
      </c>
      <c r="P49" s="56" t="str">
        <f>IF(Q49="sim",(V$2*V$7)-(N49*V$7),"")</f>
        <v/>
      </c>
      <c r="Q49" s="42" t="s">
        <v>151</v>
      </c>
      <c r="R49" s="22"/>
    </row>
    <row r="50" spans="1:18" x14ac:dyDescent="0.25">
      <c r="A50" s="1">
        <v>49</v>
      </c>
      <c r="B50" s="14">
        <v>45126</v>
      </c>
      <c r="C50" s="29">
        <v>520</v>
      </c>
      <c r="D50" s="2" t="s">
        <v>31</v>
      </c>
      <c r="E50" s="7" t="s">
        <v>38</v>
      </c>
      <c r="F50" s="17"/>
      <c r="G50" s="17" t="str">
        <f t="shared" si="0"/>
        <v>INSERIR FUNÇÃO</v>
      </c>
      <c r="H50" s="21">
        <v>0</v>
      </c>
      <c r="I50" s="21" t="e">
        <f t="shared" si="2"/>
        <v>#VALUE!</v>
      </c>
      <c r="J50" s="21">
        <v>0</v>
      </c>
      <c r="K50" s="21">
        <v>0</v>
      </c>
      <c r="L50" s="21">
        <v>0</v>
      </c>
      <c r="M50" s="21">
        <v>0</v>
      </c>
      <c r="N50" s="21">
        <f t="shared" si="1"/>
        <v>0</v>
      </c>
      <c r="O50" s="42">
        <f>V$4-SUM(J50:M50)*V$5-IF(N50&gt;=1,V$6,0)</f>
        <v>700</v>
      </c>
      <c r="P50" s="56" t="str">
        <f>IF(Q50="sim",(V$2*V$7)-(N50*V$7),"")</f>
        <v/>
      </c>
      <c r="Q50" s="42" t="s">
        <v>151</v>
      </c>
      <c r="R50" s="22"/>
    </row>
    <row r="51" spans="1:18" x14ac:dyDescent="0.25">
      <c r="A51" s="1">
        <v>50</v>
      </c>
      <c r="B51" s="10">
        <v>44293</v>
      </c>
      <c r="C51" s="36">
        <v>738</v>
      </c>
      <c r="D51" s="1" t="s">
        <v>6</v>
      </c>
      <c r="E51" s="7" t="s">
        <v>14</v>
      </c>
      <c r="F51" s="17"/>
      <c r="G51" s="17" t="str">
        <f t="shared" si="0"/>
        <v>INSERIR FUNÇÃO</v>
      </c>
      <c r="H51" s="21">
        <v>0</v>
      </c>
      <c r="I51" s="21" t="e">
        <f t="shared" si="2"/>
        <v>#VALUE!</v>
      </c>
      <c r="J51" s="21">
        <v>0</v>
      </c>
      <c r="K51" s="21">
        <v>0</v>
      </c>
      <c r="L51" s="21">
        <v>0</v>
      </c>
      <c r="M51" s="21">
        <v>0</v>
      </c>
      <c r="N51" s="21">
        <f t="shared" si="1"/>
        <v>0</v>
      </c>
      <c r="O51" s="42">
        <f>V$4-SUM(J51:M51)*V$5-IF(N51&gt;=1,V$6,0)</f>
        <v>700</v>
      </c>
      <c r="P51" s="56" t="str">
        <f>IF(Q51="sim",(V$2*V$7)-(N51*V$7),"")</f>
        <v/>
      </c>
      <c r="Q51" s="42" t="s">
        <v>151</v>
      </c>
      <c r="R51" s="22"/>
    </row>
    <row r="52" spans="1:18" x14ac:dyDescent="0.25">
      <c r="A52" s="1">
        <v>51</v>
      </c>
      <c r="B52" s="12">
        <v>44841</v>
      </c>
      <c r="C52" s="36">
        <v>1413</v>
      </c>
      <c r="D52" s="3" t="s">
        <v>72</v>
      </c>
      <c r="E52" s="19" t="s">
        <v>110</v>
      </c>
      <c r="F52" s="17"/>
      <c r="G52" s="17" t="str">
        <f t="shared" si="0"/>
        <v>INSERIR FUNÇÃO</v>
      </c>
      <c r="H52" s="21">
        <v>0</v>
      </c>
      <c r="I52" s="21" t="e">
        <f t="shared" si="2"/>
        <v>#VALUE!</v>
      </c>
      <c r="J52" s="21">
        <v>0</v>
      </c>
      <c r="K52" s="21">
        <v>0</v>
      </c>
      <c r="L52" s="21">
        <v>0</v>
      </c>
      <c r="M52" s="21">
        <v>0</v>
      </c>
      <c r="N52" s="21">
        <f t="shared" si="1"/>
        <v>0</v>
      </c>
      <c r="O52" s="42">
        <f>V$4-SUM(J52:M52)*V$5-IF(N52&gt;=1,V$6,0)</f>
        <v>700</v>
      </c>
      <c r="P52" s="56" t="str">
        <f>IF(Q52="sim",(V$2*V$7)-(N52*V$7),"")</f>
        <v/>
      </c>
      <c r="Q52" s="42" t="s">
        <v>151</v>
      </c>
      <c r="R52" s="22"/>
    </row>
    <row r="53" spans="1:18" x14ac:dyDescent="0.25">
      <c r="A53" s="1">
        <v>52</v>
      </c>
      <c r="B53" s="12">
        <v>45465</v>
      </c>
      <c r="C53" s="36">
        <v>1895</v>
      </c>
      <c r="D53" s="15" t="s">
        <v>73</v>
      </c>
      <c r="E53" s="19" t="s">
        <v>111</v>
      </c>
      <c r="F53" s="17"/>
      <c r="G53" s="17" t="str">
        <f t="shared" si="0"/>
        <v>INSERIR FUNÇÃO</v>
      </c>
      <c r="H53" s="21">
        <v>0</v>
      </c>
      <c r="I53" s="21" t="e">
        <f t="shared" si="2"/>
        <v>#VALUE!</v>
      </c>
      <c r="J53" s="21">
        <v>0</v>
      </c>
      <c r="K53" s="21">
        <v>0</v>
      </c>
      <c r="L53" s="21">
        <v>0</v>
      </c>
      <c r="M53" s="21">
        <v>0</v>
      </c>
      <c r="N53" s="21">
        <f t="shared" si="1"/>
        <v>0</v>
      </c>
      <c r="O53" s="42">
        <f>V$4-SUM(J53:M53)*V$5-IF(N53&gt;=1,V$6,0)</f>
        <v>700</v>
      </c>
      <c r="P53" s="56" t="str">
        <f>IF(Q53="sim",(V$2*V$7)-(N53*V$7),"")</f>
        <v/>
      </c>
      <c r="Q53" s="42" t="s">
        <v>151</v>
      </c>
      <c r="R53" s="22"/>
    </row>
    <row r="54" spans="1:18" x14ac:dyDescent="0.25">
      <c r="A54" s="1">
        <v>53</v>
      </c>
      <c r="B54" s="14">
        <v>45492</v>
      </c>
      <c r="C54" s="29">
        <v>1907</v>
      </c>
      <c r="D54" s="2" t="s">
        <v>74</v>
      </c>
      <c r="E54" s="7" t="s">
        <v>112</v>
      </c>
      <c r="F54" s="17"/>
      <c r="G54" s="17" t="str">
        <f t="shared" si="0"/>
        <v>INSERIR FUNÇÃO</v>
      </c>
      <c r="H54" s="21">
        <v>0</v>
      </c>
      <c r="I54" s="21" t="e">
        <f t="shared" si="2"/>
        <v>#VALUE!</v>
      </c>
      <c r="J54" s="21">
        <v>0</v>
      </c>
      <c r="K54" s="21">
        <v>0</v>
      </c>
      <c r="L54" s="21">
        <v>0</v>
      </c>
      <c r="M54" s="21">
        <v>0</v>
      </c>
      <c r="N54" s="21">
        <f t="shared" si="1"/>
        <v>0</v>
      </c>
      <c r="O54" s="42">
        <f>V$4-SUM(J54:M54)*V$5-IF(N54&gt;=1,V$6,0)</f>
        <v>700</v>
      </c>
      <c r="P54" s="56" t="str">
        <f>IF(Q54="sim",(V$2*V$7)-(N54*V$7),"")</f>
        <v/>
      </c>
      <c r="Q54" s="42" t="s">
        <v>151</v>
      </c>
      <c r="R54" s="22"/>
    </row>
    <row r="55" spans="1:18" x14ac:dyDescent="0.25">
      <c r="A55" s="1">
        <v>54</v>
      </c>
      <c r="B55" s="10">
        <v>44238</v>
      </c>
      <c r="C55" s="36">
        <v>367</v>
      </c>
      <c r="D55" s="1" t="s">
        <v>75</v>
      </c>
      <c r="E55" s="7" t="s">
        <v>113</v>
      </c>
      <c r="F55" s="17"/>
      <c r="G55" s="17" t="str">
        <f t="shared" si="0"/>
        <v>INSERIR FUNÇÃO</v>
      </c>
      <c r="H55" s="21">
        <v>0</v>
      </c>
      <c r="I55" s="21" t="e">
        <f t="shared" si="2"/>
        <v>#VALUE!</v>
      </c>
      <c r="J55" s="21">
        <v>0</v>
      </c>
      <c r="K55" s="21">
        <v>0</v>
      </c>
      <c r="L55" s="21">
        <v>0</v>
      </c>
      <c r="M55" s="21">
        <v>0</v>
      </c>
      <c r="N55" s="21">
        <f t="shared" si="1"/>
        <v>0</v>
      </c>
      <c r="O55" s="42">
        <f>V$4-SUM(J55:M55)*V$5-IF(N55&gt;=1,V$6,0)</f>
        <v>700</v>
      </c>
      <c r="P55" s="56" t="str">
        <f>IF(Q55="sim",(V$2*V$7)-(N55*V$7),"")</f>
        <v/>
      </c>
      <c r="Q55" s="42" t="s">
        <v>151</v>
      </c>
      <c r="R55" s="22"/>
    </row>
    <row r="56" spans="1:18" x14ac:dyDescent="0.25">
      <c r="A56" s="1">
        <v>55</v>
      </c>
      <c r="B56" s="34">
        <v>45126</v>
      </c>
      <c r="C56" s="36">
        <v>1654</v>
      </c>
      <c r="D56" s="16" t="s">
        <v>35</v>
      </c>
      <c r="E56" s="40" t="s">
        <v>42</v>
      </c>
      <c r="F56" s="17"/>
      <c r="G56" s="17" t="str">
        <f t="shared" si="0"/>
        <v>INSERIR FUNÇÃO</v>
      </c>
      <c r="H56" s="21">
        <v>0</v>
      </c>
      <c r="I56" s="21" t="e">
        <f t="shared" si="2"/>
        <v>#VALUE!</v>
      </c>
      <c r="J56" s="21">
        <v>0</v>
      </c>
      <c r="K56" s="21">
        <v>0</v>
      </c>
      <c r="L56" s="21">
        <v>0</v>
      </c>
      <c r="M56" s="21">
        <v>0</v>
      </c>
      <c r="N56" s="21">
        <f t="shared" si="1"/>
        <v>0</v>
      </c>
      <c r="O56" s="42">
        <f>V$4-SUM(J56:M56)*V$5-IF(N56&gt;=1,V$6,0)</f>
        <v>700</v>
      </c>
      <c r="P56" s="56" t="str">
        <f>IF(Q56="sim",(V$2*V$7)-(N56*V$7),"")</f>
        <v/>
      </c>
      <c r="Q56" s="42" t="s">
        <v>151</v>
      </c>
      <c r="R56" s="22"/>
    </row>
    <row r="57" spans="1:18" x14ac:dyDescent="0.25">
      <c r="A57" s="1">
        <v>56</v>
      </c>
      <c r="B57" s="34">
        <v>45281</v>
      </c>
      <c r="C57" s="36">
        <v>1760</v>
      </c>
      <c r="D57" s="16" t="s">
        <v>76</v>
      </c>
      <c r="E57" s="40" t="s">
        <v>114</v>
      </c>
      <c r="F57" s="17"/>
      <c r="G57" s="17" t="str">
        <f t="shared" si="0"/>
        <v>INSERIR FUNÇÃO</v>
      </c>
      <c r="H57" s="21">
        <v>0</v>
      </c>
      <c r="I57" s="21" t="e">
        <f t="shared" si="2"/>
        <v>#VALUE!</v>
      </c>
      <c r="J57" s="21">
        <v>0</v>
      </c>
      <c r="K57" s="21">
        <v>0</v>
      </c>
      <c r="L57" s="21">
        <v>0</v>
      </c>
      <c r="M57" s="21">
        <v>0</v>
      </c>
      <c r="N57" s="21">
        <f t="shared" si="1"/>
        <v>0</v>
      </c>
      <c r="O57" s="42">
        <f>V$4-SUM(J57:M57)*V$5-IF(N57&gt;=1,V$6,0)</f>
        <v>700</v>
      </c>
      <c r="P57" s="56" t="str">
        <f>IF(Q57="sim",(V$2*V$7)-(N57*V$7),"")</f>
        <v/>
      </c>
      <c r="Q57" s="42" t="s">
        <v>151</v>
      </c>
      <c r="R57" s="22"/>
    </row>
    <row r="58" spans="1:18" x14ac:dyDescent="0.25">
      <c r="A58" s="1">
        <v>57</v>
      </c>
      <c r="B58" s="11">
        <v>44257</v>
      </c>
      <c r="C58" s="37">
        <v>621</v>
      </c>
      <c r="D58" s="2" t="s">
        <v>77</v>
      </c>
      <c r="E58" s="6" t="s">
        <v>115</v>
      </c>
      <c r="F58" s="17"/>
      <c r="G58" s="17" t="str">
        <f t="shared" si="0"/>
        <v>INSERIR FUNÇÃO</v>
      </c>
      <c r="H58" s="21">
        <v>0</v>
      </c>
      <c r="I58" s="21" t="e">
        <f t="shared" si="2"/>
        <v>#VALUE!</v>
      </c>
      <c r="J58" s="21">
        <v>0</v>
      </c>
      <c r="K58" s="21">
        <v>0</v>
      </c>
      <c r="L58" s="21">
        <v>0</v>
      </c>
      <c r="M58" s="21">
        <v>0</v>
      </c>
      <c r="N58" s="21">
        <f t="shared" si="1"/>
        <v>0</v>
      </c>
      <c r="O58" s="42">
        <f>V$4-SUM(J58:M58)*V$5-IF(N58&gt;=1,V$6,0)</f>
        <v>700</v>
      </c>
      <c r="P58" s="56" t="str">
        <f>IF(Q58="sim",(V$2*V$7)-(N58*V$7),"")</f>
        <v/>
      </c>
      <c r="Q58" s="42" t="s">
        <v>151</v>
      </c>
      <c r="R58" s="22"/>
    </row>
    <row r="59" spans="1:18" x14ac:dyDescent="0.25">
      <c r="A59" s="1">
        <v>58</v>
      </c>
      <c r="B59" s="10">
        <v>44238</v>
      </c>
      <c r="C59" s="4">
        <v>399</v>
      </c>
      <c r="D59" s="28" t="s">
        <v>78</v>
      </c>
      <c r="E59" s="20" t="s">
        <v>116</v>
      </c>
      <c r="F59" s="17"/>
      <c r="G59" s="17" t="str">
        <f t="shared" si="0"/>
        <v>INSERIR FUNÇÃO</v>
      </c>
      <c r="H59" s="21">
        <v>0</v>
      </c>
      <c r="I59" s="21" t="e">
        <f t="shared" si="2"/>
        <v>#VALUE!</v>
      </c>
      <c r="J59" s="21">
        <v>0</v>
      </c>
      <c r="K59" s="21">
        <v>0</v>
      </c>
      <c r="L59" s="21">
        <v>0</v>
      </c>
      <c r="M59" s="21">
        <v>0</v>
      </c>
      <c r="N59" s="21">
        <f t="shared" si="1"/>
        <v>0</v>
      </c>
      <c r="O59" s="42">
        <f>V$4-SUM(J59:M59)*V$5-IF(N59&gt;=1,V$6,0)</f>
        <v>700</v>
      </c>
      <c r="P59" s="56" t="str">
        <f>IF(Q59="sim",(V$2*V$7)-(N59*V$7),"")</f>
        <v/>
      </c>
      <c r="Q59" s="42" t="s">
        <v>151</v>
      </c>
      <c r="R59" s="22"/>
    </row>
    <row r="60" spans="1:18" x14ac:dyDescent="0.25">
      <c r="A60" s="1">
        <v>59</v>
      </c>
      <c r="B60" s="14">
        <v>44238</v>
      </c>
      <c r="C60" s="4">
        <v>390</v>
      </c>
      <c r="D60" s="28" t="s">
        <v>79</v>
      </c>
      <c r="E60" s="20" t="s">
        <v>117</v>
      </c>
      <c r="F60" s="17"/>
      <c r="G60" s="17" t="str">
        <f t="shared" si="0"/>
        <v>INSERIR FUNÇÃO</v>
      </c>
      <c r="H60" s="21">
        <v>0</v>
      </c>
      <c r="I60" s="21" t="e">
        <f t="shared" si="2"/>
        <v>#VALUE!</v>
      </c>
      <c r="J60" s="21">
        <v>0</v>
      </c>
      <c r="K60" s="21">
        <v>0</v>
      </c>
      <c r="L60" s="21">
        <v>0</v>
      </c>
      <c r="M60" s="21">
        <v>0</v>
      </c>
      <c r="N60" s="21">
        <f t="shared" si="1"/>
        <v>0</v>
      </c>
      <c r="O60" s="42">
        <f>V$4-SUM(J60:M60)*V$5-IF(N60&gt;=1,V$6,0)</f>
        <v>700</v>
      </c>
      <c r="P60" s="56" t="str">
        <f>IF(Q60="sim",(V$2*V$7)-(N60*V$7),"")</f>
        <v/>
      </c>
      <c r="Q60" s="42" t="s">
        <v>151</v>
      </c>
      <c r="R60" s="22"/>
    </row>
    <row r="61" spans="1:18" x14ac:dyDescent="0.25">
      <c r="A61" s="1">
        <v>60</v>
      </c>
      <c r="B61" s="13">
        <v>44712</v>
      </c>
      <c r="C61" s="4">
        <v>1326</v>
      </c>
      <c r="D61" s="28" t="s">
        <v>10</v>
      </c>
      <c r="E61" s="20" t="s">
        <v>18</v>
      </c>
      <c r="F61" s="17"/>
      <c r="G61" s="17" t="str">
        <f t="shared" si="0"/>
        <v>INSERIR FUNÇÃO</v>
      </c>
      <c r="H61" s="21">
        <v>0</v>
      </c>
      <c r="I61" s="21" t="e">
        <f t="shared" si="2"/>
        <v>#VALUE!</v>
      </c>
      <c r="J61" s="21">
        <v>0</v>
      </c>
      <c r="K61" s="21">
        <v>0</v>
      </c>
      <c r="L61" s="21">
        <v>0</v>
      </c>
      <c r="M61" s="21">
        <v>0</v>
      </c>
      <c r="N61" s="21">
        <f t="shared" si="1"/>
        <v>0</v>
      </c>
      <c r="O61" s="42">
        <f>V$4-SUM(J61:M61)*V$5-IF(N61&gt;=1,V$6,0)</f>
        <v>700</v>
      </c>
      <c r="P61" s="56" t="str">
        <f>IF(Q61="sim",(V$2*V$7)-(N61*V$7),"")</f>
        <v/>
      </c>
      <c r="Q61" s="42" t="s">
        <v>151</v>
      </c>
      <c r="R61" s="22"/>
    </row>
    <row r="62" spans="1:18" x14ac:dyDescent="0.25">
      <c r="A62" s="1">
        <v>61</v>
      </c>
      <c r="B62" s="10">
        <v>44315</v>
      </c>
      <c r="C62" s="4">
        <v>792</v>
      </c>
      <c r="D62" s="1" t="s">
        <v>80</v>
      </c>
      <c r="E62" s="20" t="s">
        <v>118</v>
      </c>
      <c r="F62" s="17"/>
      <c r="G62" s="17" t="str">
        <f t="shared" si="0"/>
        <v>INSERIR FUNÇÃO</v>
      </c>
      <c r="H62" s="21">
        <v>0</v>
      </c>
      <c r="I62" s="21" t="e">
        <f t="shared" si="2"/>
        <v>#VALUE!</v>
      </c>
      <c r="J62" s="21">
        <v>0</v>
      </c>
      <c r="K62" s="21">
        <v>0</v>
      </c>
      <c r="L62" s="21">
        <v>0</v>
      </c>
      <c r="M62" s="21">
        <v>0</v>
      </c>
      <c r="N62" s="21">
        <f t="shared" si="1"/>
        <v>0</v>
      </c>
      <c r="O62" s="42">
        <f>V$4-SUM(J62:M62)*V$5-IF(N62&gt;=1,V$6,0)</f>
        <v>700</v>
      </c>
      <c r="P62" s="56" t="str">
        <f>IF(Q62="sim",(V$2*V$7)-(N62*V$7),"")</f>
        <v/>
      </c>
      <c r="Q62" s="42" t="s">
        <v>151</v>
      </c>
      <c r="R62" s="22"/>
    </row>
    <row r="63" spans="1:18" x14ac:dyDescent="0.25">
      <c r="A63" s="1">
        <v>62</v>
      </c>
      <c r="B63" s="13">
        <v>44601</v>
      </c>
      <c r="C63" s="4">
        <v>1066</v>
      </c>
      <c r="D63" s="28" t="s">
        <v>11</v>
      </c>
      <c r="E63" s="20" t="s">
        <v>19</v>
      </c>
      <c r="F63" s="17"/>
      <c r="G63" s="17" t="str">
        <f t="shared" si="0"/>
        <v>INSERIR FUNÇÃO</v>
      </c>
      <c r="H63" s="21">
        <v>0</v>
      </c>
      <c r="I63" s="21" t="e">
        <f t="shared" si="2"/>
        <v>#VALUE!</v>
      </c>
      <c r="J63" s="21">
        <v>0</v>
      </c>
      <c r="K63" s="21">
        <v>0</v>
      </c>
      <c r="L63" s="21">
        <v>0</v>
      </c>
      <c r="M63" s="21">
        <v>0</v>
      </c>
      <c r="N63" s="21">
        <f t="shared" si="1"/>
        <v>0</v>
      </c>
      <c r="O63" s="42">
        <f>V$4-SUM(J63:M63)*V$5-IF(N63&gt;=1,V$6,0)</f>
        <v>700</v>
      </c>
      <c r="P63" s="56" t="str">
        <f>IF(Q63="sim",(V$2*V$7)-(N63*V$7),"")</f>
        <v/>
      </c>
      <c r="Q63" s="42" t="s">
        <v>151</v>
      </c>
      <c r="R63" s="22"/>
    </row>
    <row r="64" spans="1:18" x14ac:dyDescent="0.25">
      <c r="A64" s="1">
        <v>63</v>
      </c>
      <c r="B64" s="14">
        <v>44670</v>
      </c>
      <c r="C64" s="29">
        <v>1232</v>
      </c>
      <c r="D64" s="28" t="s">
        <v>131</v>
      </c>
      <c r="E64" s="20" t="s">
        <v>136</v>
      </c>
      <c r="F64" s="17"/>
      <c r="G64" s="17" t="str">
        <f t="shared" si="0"/>
        <v>INSERIR FUNÇÃO</v>
      </c>
      <c r="H64" s="21">
        <v>0</v>
      </c>
      <c r="I64" s="21" t="e">
        <f t="shared" si="2"/>
        <v>#VALUE!</v>
      </c>
      <c r="J64" s="21">
        <v>0</v>
      </c>
      <c r="K64" s="21">
        <v>0</v>
      </c>
      <c r="L64" s="21">
        <v>0</v>
      </c>
      <c r="M64" s="21">
        <v>0</v>
      </c>
      <c r="N64" s="21">
        <f t="shared" si="1"/>
        <v>0</v>
      </c>
      <c r="O64" s="42">
        <f>V$4-SUM(J64:M64)*V$5-IF(N64&gt;=1,V$6,0)</f>
        <v>700</v>
      </c>
      <c r="P64" s="56" t="str">
        <f>IF(Q64="sim",(V$2*V$7)-(N64*V$7),"")</f>
        <v/>
      </c>
      <c r="Q64" s="42" t="s">
        <v>151</v>
      </c>
      <c r="R64" s="22"/>
    </row>
    <row r="65" spans="1:18" x14ac:dyDescent="0.25">
      <c r="A65" s="1">
        <v>64</v>
      </c>
      <c r="B65" s="13">
        <v>44294</v>
      </c>
      <c r="C65" s="4">
        <v>785</v>
      </c>
      <c r="D65" s="28" t="s">
        <v>36</v>
      </c>
      <c r="E65" s="20" t="s">
        <v>43</v>
      </c>
      <c r="F65" s="17"/>
      <c r="G65" s="17" t="str">
        <f t="shared" si="0"/>
        <v>INSERIR FUNÇÃO</v>
      </c>
      <c r="H65" s="21">
        <v>0</v>
      </c>
      <c r="I65" s="21" t="e">
        <f t="shared" si="2"/>
        <v>#VALUE!</v>
      </c>
      <c r="J65" s="21">
        <v>0</v>
      </c>
      <c r="K65" s="21">
        <v>0</v>
      </c>
      <c r="L65" s="21">
        <v>0</v>
      </c>
      <c r="M65" s="21">
        <v>0</v>
      </c>
      <c r="N65" s="21">
        <f t="shared" si="1"/>
        <v>0</v>
      </c>
      <c r="O65" s="42">
        <f>V$4-SUM(J65:M65)*V$5-IF(N65&gt;=1,V$6,0)</f>
        <v>700</v>
      </c>
      <c r="P65" s="56" t="str">
        <f>IF(Q65="sim",(V$2*V$7)-(N65*V$7),"")</f>
        <v/>
      </c>
      <c r="Q65" s="42" t="s">
        <v>151</v>
      </c>
      <c r="R65" s="22"/>
    </row>
    <row r="66" spans="1:18" x14ac:dyDescent="0.25">
      <c r="A66" s="1">
        <v>65</v>
      </c>
      <c r="B66" s="13">
        <v>45167</v>
      </c>
      <c r="C66" s="4">
        <v>1669</v>
      </c>
      <c r="D66" s="28" t="s">
        <v>81</v>
      </c>
      <c r="E66" s="20" t="s">
        <v>119</v>
      </c>
      <c r="F66" s="17"/>
      <c r="G66" s="17" t="str">
        <f t="shared" si="0"/>
        <v>INSERIR FUNÇÃO</v>
      </c>
      <c r="H66" s="21">
        <v>0</v>
      </c>
      <c r="I66" s="21" t="e">
        <f t="shared" si="2"/>
        <v>#VALUE!</v>
      </c>
      <c r="J66" s="21">
        <v>0</v>
      </c>
      <c r="K66" s="21">
        <v>0</v>
      </c>
      <c r="L66" s="21">
        <v>0</v>
      </c>
      <c r="M66" s="21">
        <v>0</v>
      </c>
      <c r="N66" s="21">
        <f t="shared" si="1"/>
        <v>0</v>
      </c>
      <c r="O66" s="42">
        <f>V$4-SUM(J66:M66)*V$5-IF(N66&gt;=1,V$6,0)</f>
        <v>700</v>
      </c>
      <c r="P66" s="56" t="str">
        <f>IF(Q66="sim",(V$2*V$7)-(N66*V$7),"")</f>
        <v/>
      </c>
      <c r="Q66" s="42" t="s">
        <v>151</v>
      </c>
      <c r="R66" s="22"/>
    </row>
    <row r="67" spans="1:18" x14ac:dyDescent="0.25">
      <c r="A67" s="1">
        <v>66</v>
      </c>
      <c r="B67" s="13">
        <v>45496</v>
      </c>
      <c r="C67" s="4">
        <v>1911</v>
      </c>
      <c r="D67" s="4" t="s">
        <v>125</v>
      </c>
      <c r="E67" s="20" t="s">
        <v>126</v>
      </c>
      <c r="F67" s="40"/>
      <c r="G67" s="40" t="str">
        <f t="shared" ref="G67" si="3">IF(F67="MOT. TRUCK",81.12,IF(F67="MOT. CAM. LEVE",73.34,IF(F67="MOT. CAM. PES.",77.25,IF(F67="MOT. CARRO",71.61,IF(F67="COLETOR",58.3,IF(F67="SERVENTE",54.7,IF(F67="OP. RETRO",85.05,IF(F67="FISC/ENC",95.73,IF(F67="AUX. ADM",83.33,"INSERIR FUNÇÃO")))))))))</f>
        <v>INSERIR FUNÇÃO</v>
      </c>
      <c r="H67" s="21">
        <v>0</v>
      </c>
      <c r="I67" s="21" t="e">
        <f t="shared" si="2"/>
        <v>#VALUE!</v>
      </c>
      <c r="J67" s="21">
        <v>0</v>
      </c>
      <c r="K67" s="21">
        <v>0</v>
      </c>
      <c r="L67" s="21">
        <v>0</v>
      </c>
      <c r="M67" s="21">
        <v>0</v>
      </c>
      <c r="N67" s="21">
        <f t="shared" ref="N67" si="4">SUM(J67:M67)</f>
        <v>0</v>
      </c>
      <c r="O67" s="42">
        <f>V$4-SUM(J67:M67)*V$5-IF(N67&gt;=1,V$6,0)</f>
        <v>700</v>
      </c>
      <c r="P67" s="56" t="str">
        <f>IF(Q67="sim",(V$2*V$7)-(N67*V$7),"")</f>
        <v/>
      </c>
      <c r="Q67" s="42" t="s">
        <v>151</v>
      </c>
      <c r="R67" s="22"/>
    </row>
    <row r="68" spans="1:18" x14ac:dyDescent="0.25">
      <c r="A68" s="44"/>
      <c r="B68" s="45"/>
      <c r="C68" s="38"/>
      <c r="D68" s="38" t="s">
        <v>148</v>
      </c>
      <c r="E68" s="46"/>
      <c r="F68" s="46"/>
      <c r="G68" s="46"/>
      <c r="H68" s="46"/>
      <c r="I68" s="46"/>
      <c r="J68" s="47"/>
      <c r="K68" s="47"/>
      <c r="L68" s="47"/>
      <c r="M68" s="47"/>
      <c r="N68" s="48"/>
      <c r="O68" s="49">
        <f>SUM(O2:O67)</f>
        <v>46121.67</v>
      </c>
      <c r="P68" s="57">
        <f>SUM(P2:P67)</f>
        <v>828</v>
      </c>
      <c r="Q68" s="49"/>
      <c r="R68" s="47"/>
    </row>
    <row r="69" spans="1:18" x14ac:dyDescent="0.25">
      <c r="C69" s="30"/>
    </row>
  </sheetData>
  <dataValidations count="2">
    <dataValidation type="list" allowBlank="1" showInputMessage="1" showErrorMessage="1" sqref="Q2:Q67" xr:uid="{0D509747-D5E2-4F02-AEC6-6C6A415D63DA}">
      <formula1>"sim,não"</formula1>
    </dataValidation>
    <dataValidation type="list" allowBlank="1" showInputMessage="1" showErrorMessage="1" sqref="F2:F67" xr:uid="{FC591B7B-1EA7-4FB8-8F11-6CAE08B2F6C5}">
      <formula1>"MOT. TRUCK,MOT. CAM. LEVE,MOT. CAM. PES.,MOT. CARRO,COLETOR,SERVENTE,OP. RETRO,FISC/ENC,AUX. ADM"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CommandButton1">
          <controlPr defaultSize="0" autoLine="0" r:id="rId5">
            <anchor moveWithCells="1">
              <from>
                <xdr:col>18</xdr:col>
                <xdr:colOff>133350</xdr:colOff>
                <xdr:row>1</xdr:row>
                <xdr:rowOff>28575</xdr:rowOff>
              </from>
              <to>
                <xdr:col>19</xdr:col>
                <xdr:colOff>552450</xdr:colOff>
                <xdr:row>3</xdr:row>
                <xdr:rowOff>104775</xdr:rowOff>
              </to>
            </anchor>
          </controlPr>
        </control>
      </mc:Choice>
      <mc:Fallback>
        <control shapeId="6149" r:id="rId4" name="CommandButton1"/>
      </mc:Fallback>
    </mc:AlternateContent>
    <mc:AlternateContent xmlns:mc="http://schemas.openxmlformats.org/markup-compatibility/2006">
      <mc:Choice Requires="x14">
        <control shapeId="6152" r:id="rId6" name="CommandButton2">
          <controlPr defaultSize="0" autoLine="0" r:id="rId7">
            <anchor moveWithCells="1">
              <from>
                <xdr:col>18</xdr:col>
                <xdr:colOff>142875</xdr:colOff>
                <xdr:row>3</xdr:row>
                <xdr:rowOff>209550</xdr:rowOff>
              </from>
              <to>
                <xdr:col>19</xdr:col>
                <xdr:colOff>561975</xdr:colOff>
                <xdr:row>5</xdr:row>
                <xdr:rowOff>266700</xdr:rowOff>
              </to>
            </anchor>
          </controlPr>
        </control>
      </mc:Choice>
      <mc:Fallback>
        <control shapeId="615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Funcionários Ativos - Lote 01 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 Faturamento</dc:creator>
  <cp:lastModifiedBy>Wagner</cp:lastModifiedBy>
  <cp:lastPrinted>2024-08-23T12:39:04Z</cp:lastPrinted>
  <dcterms:created xsi:type="dcterms:W3CDTF">2024-08-21T12:16:18Z</dcterms:created>
  <dcterms:modified xsi:type="dcterms:W3CDTF">2024-09-17T17:03:08Z</dcterms:modified>
</cp:coreProperties>
</file>