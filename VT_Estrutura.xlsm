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Z:\5_RH\0 - FECHAMENTO VT_VR_ MENSAL\9º - MANUTENÇÃO\2024\11.24\"/>
    </mc:Choice>
  </mc:AlternateContent>
  <xr:revisionPtr revIDLastSave="0" documentId="13_ncr:1_{C696678A-8554-4622-906A-62EC2BC8994D}" xr6:coauthVersionLast="47" xr6:coauthVersionMax="47" xr10:uidLastSave="{00000000-0000-0000-0000-000000000000}"/>
  <bookViews>
    <workbookView xWindow="-120" yWindow="-120" windowWidth="29040" windowHeight="15840" xr2:uid="{64819F78-CABD-4A90-9F2C-C16DB2916E0A}"/>
  </bookViews>
  <sheets>
    <sheet name="CONTROLE_VT" sheetId="1" r:id="rId1"/>
  </sheets>
  <functionGroups builtInGroupCount="19"/>
  <definedNames>
    <definedName name="_xleta.IF" hidden="1" xlm="1">#NAME?</definedName>
    <definedName name="SELECAO">CONTROLE_VT!$C$2:$C$5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G3" i="1"/>
  <c r="G4" i="1"/>
  <c r="G5" i="1"/>
  <c r="H2" i="1"/>
  <c r="G2" i="1"/>
</calcChain>
</file>

<file path=xl/sharedStrings.xml><?xml version="1.0" encoding="utf-8"?>
<sst xmlns="http://schemas.openxmlformats.org/spreadsheetml/2006/main" count="27" uniqueCount="21">
  <si>
    <t>N°</t>
  </si>
  <si>
    <t>NOME</t>
  </si>
  <si>
    <t>CPF</t>
  </si>
  <si>
    <t>LANÇAMENTOS FIXOS</t>
  </si>
  <si>
    <t>Valor</t>
  </si>
  <si>
    <t>Dias úteis</t>
  </si>
  <si>
    <t>Ausências</t>
  </si>
  <si>
    <t>não</t>
  </si>
  <si>
    <t>Optante Urbs</t>
  </si>
  <si>
    <t>Valor Urbs</t>
  </si>
  <si>
    <t>Valor Metrocard</t>
  </si>
  <si>
    <t>Optante Metro</t>
  </si>
  <si>
    <t>sim</t>
  </si>
  <si>
    <t>030.437.082-70</t>
  </si>
  <si>
    <t xml:space="preserve">JOSE RAIMUNDO DA SILVA SANTOS </t>
  </si>
  <si>
    <t>562.989.869-87</t>
  </si>
  <si>
    <t xml:space="preserve">MISAEL PEREIRA LUCIO </t>
  </si>
  <si>
    <t>115.234.719-56</t>
  </si>
  <si>
    <t xml:space="preserve">RUBENS AFONSO DE SOUZA </t>
  </si>
  <si>
    <t>713.494.062-44</t>
  </si>
  <si>
    <t>Victor Elias Prado Cermeno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</si>
</sst>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0,000,000,0\-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rgb="FF0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1">
    <xf numFmtId="0" fontId="0" fillId="0" borderId="0" xfId="0"/>
    <xf numFmtId="0" fontId="1" fillId="3" borderId="1" xfId="0" applyFont="1" applyFill="1" applyBorder="1" applyAlignment="1">
      <alignment horizontal="centerContinuous"/>
    </xf>
    <xf numFmtId="44" fontId="0" fillId="3" borderId="1" xfId="1" applyFont="1" applyFill="1" applyBorder="1" applyAlignment="1">
      <alignment horizontal="centerContinuous"/>
    </xf>
    <xf numFmtId="0" fontId="1" fillId="3" borderId="1" xfId="0" applyFont="1" applyFill="1" applyBorder="1"/>
    <xf numFmtId="44" fontId="1" fillId="3" borderId="1" xfId="1" applyFont="1" applyFill="1" applyBorder="1" applyProtection="1"/>
    <xf numFmtId="0" fontId="3" fillId="2" borderId="1" xfId="0" applyFont="1" applyFill="1" applyBorder="1"/>
    <xf numFmtId="0" fontId="3" fillId="2" borderId="1" xfId="0" applyFont="1" applyFill="1" applyBorder="1" applyAlignment="1">
      <alignment vertical="center"/>
    </xf>
    <xf numFmtId="164" fontId="1" fillId="3" borderId="1" xfId="0" applyNumberFormat="1" applyFont="1" applyFill="1" applyBorder="1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44" fontId="0" fillId="2" borderId="1" xfId="1" applyFont="1" applyFill="1" applyBorder="1" applyProtection="1"/>
    <xf numFmtId="0" fontId="0" fillId="2" borderId="1" xfId="0" applyFill="1" applyBorder="1"/>
    <xf numFmtId="44" fontId="0" fillId="2" borderId="1" xfId="1" applyFont="1" applyFill="1" applyBorder="1"/>
    <xf numFmtId="0" fontId="0" fillId="2" borderId="1" xfId="1" applyNumberFormat="1" applyFont="1" applyFill="1" applyBorder="1"/>
    <xf numFmtId="44" fontId="0" fillId="2" borderId="0" xfId="1" applyFont="1" applyFill="1"/>
    <xf numFmtId="164" fontId="0" fillId="2" borderId="0" xfId="0" applyNumberFormat="1" applyFill="1"/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vertical="center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400052</xdr:colOff>
          <xdr:row>5</xdr:row>
          <xdr:rowOff>9524</xdr:rowOff>
        </xdr:from>
        <xdr:to>
          <xdr:col>12</xdr:col>
          <xdr:colOff>142876</xdr:colOff>
          <xdr:row>9</xdr:row>
          <xdr:rowOff>9525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4</xdr:row>
          <xdr:rowOff>190498</xdr:rowOff>
        </xdr:from>
        <xdr:to>
          <xdr:col>14</xdr:col>
          <xdr:colOff>238125</xdr:colOff>
          <xdr:row>8</xdr:row>
          <xdr:rowOff>190499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5</xdr:row>
          <xdr:rowOff>28574</xdr:rowOff>
        </xdr:from>
        <xdr:to>
          <xdr:col>10</xdr:col>
          <xdr:colOff>250825</xdr:colOff>
          <xdr:row>9</xdr:row>
          <xdr:rowOff>28574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22BE-9B61-4DA0-88A9-9BC5FABF900B}">
  <sheetPr codeName="Planilha1"/>
  <dimension ref="A1:L5"/>
  <sheetViews>
    <sheetView tabSelected="1" workbookViewId="0">
      <selection activeCell="J14" sqref="J14"/>
    </sheetView>
  </sheetViews>
  <sheetFormatPr defaultRowHeight="15" x14ac:dyDescent="0.25"/>
  <cols>
    <col min="1" max="1" width="3.28515625" style="8" bestFit="1" customWidth="1"/>
    <col min="2" max="2" width="12.28515625" style="15" bestFit="1" customWidth="1"/>
    <col min="3" max="3" width="30.7109375" style="8" bestFit="1" customWidth="1"/>
    <col min="4" max="4" width="10.140625" style="8" bestFit="1" customWidth="1"/>
    <col min="5" max="5" width="14.42578125" style="14" bestFit="1" customWidth="1"/>
    <col min="6" max="6" width="15.5703125" style="14" bestFit="1" customWidth="1"/>
    <col min="7" max="8" width="19.5703125" style="14" customWidth="1"/>
    <col min="9" max="10" width="9.140625" style="8"/>
    <col min="11" max="11" width="11.85546875" style="8" customWidth="1"/>
    <col min="12" max="12" width="9.5703125" style="14" bestFit="1" customWidth="1"/>
    <col min="13" max="16384" width="9.140625" style="8"/>
  </cols>
  <sheetData>
    <row r="1" spans="1:12" x14ac:dyDescent="0.25">
      <c r="A1" s="3" t="s">
        <v>0</v>
      </c>
      <c r="B1" s="7" t="s">
        <v>2</v>
      </c>
      <c r="C1" s="3" t="s">
        <v>1</v>
      </c>
      <c r="D1" s="3" t="s">
        <v>6</v>
      </c>
      <c r="E1" s="4" t="s">
        <v>8</v>
      </c>
      <c r="F1" s="4" t="s">
        <v>11</v>
      </c>
      <c r="G1" s="4" t="s">
        <v>9</v>
      </c>
      <c r="H1" s="4" t="s">
        <v>10</v>
      </c>
      <c r="K1" s="1" t="s">
        <v>3</v>
      </c>
      <c r="L1" s="2"/>
    </row>
    <row r="2" spans="1:12" x14ac:dyDescent="0.25">
      <c r="A2" s="9">
        <v>1</v>
      </c>
      <c r="B2" s="16" t="s">
        <v>13</v>
      </c>
      <c r="C2" s="17" t="s">
        <v>14</v>
      </c>
      <c r="D2" s="5">
        <v>0</v>
      </c>
      <c r="E2" s="10" t="s">
        <v>12</v>
      </c>
      <c r="F2" s="10" t="s">
        <v>7</v>
      </c>
      <c r="G2" s="10">
        <f>IF(AND(E2="sim",F2="sim"),$L$2*$L$3*0.5-D2*$L$2*0.5,IF(AND(E2="sim",F2="não"),$L$2*$L$3-D2*$L$2,0))</f>
        <v>276</v>
      </c>
      <c r="H2" s="10">
        <f>IF(AND(F2="sim",E2="sim"),$L$2*$L$3*0.5-D2*$L$2*0.5,IF(AND(F2="sim",E2="não"),$L$2*$L$3-D2*$L$2,0))</f>
        <v>0</v>
      </c>
      <c r="K2" s="11" t="s">
        <v>4</v>
      </c>
      <c r="L2" s="12">
        <v>12</v>
      </c>
    </row>
    <row r="3" spans="1:12" x14ac:dyDescent="0.25">
      <c r="A3" s="9">
        <v>2</v>
      </c>
      <c r="B3" s="18" t="s">
        <v>15</v>
      </c>
      <c r="C3" s="17" t="s">
        <v>16</v>
      </c>
      <c r="D3" s="5">
        <v>0</v>
      </c>
      <c r="E3" s="10" t="s">
        <v>7</v>
      </c>
      <c r="F3" s="10" t="s">
        <v>7</v>
      </c>
      <c r="G3" s="10">
        <f t="shared" ref="G3:G5" si="0">IF(AND(E3="sim",F3="sim"),$L$2*$L$3*0.5-D3*$L$2*0.5,IF(AND(E3="sim",F3="não"),$L$2*$L$3-D3*$L$2,0))</f>
        <v>0</v>
      </c>
      <c r="H3" s="10">
        <f t="shared" ref="H3:H5" si="1">IF(AND(F3="sim",E3="sim"),$L$2*$L$3*0.5-D3*$L$2*0.5,IF(AND(F3="sim",E3="não"),$L$2*$L$3-D3*$L$2,0))</f>
        <v>0</v>
      </c>
      <c r="K3" s="11" t="s">
        <v>5</v>
      </c>
      <c r="L3" s="13">
        <v>23</v>
      </c>
    </row>
    <row r="4" spans="1:12" x14ac:dyDescent="0.25">
      <c r="A4" s="9">
        <v>3</v>
      </c>
      <c r="B4" s="16" t="s">
        <v>17</v>
      </c>
      <c r="C4" s="17" t="s">
        <v>18</v>
      </c>
      <c r="D4" s="5">
        <v>0</v>
      </c>
      <c r="E4" s="10" t="s">
        <v>7</v>
      </c>
      <c r="F4" s="10" t="s">
        <v>12</v>
      </c>
      <c r="G4" s="10">
        <f t="shared" si="0"/>
        <v>0</v>
      </c>
      <c r="H4" s="10">
        <f t="shared" si="1"/>
        <v>276</v>
      </c>
    </row>
    <row r="5" spans="1:12" x14ac:dyDescent="0.25">
      <c r="A5" s="9">
        <v>4</v>
      </c>
      <c r="B5" s="19" t="s">
        <v>19</v>
      </c>
      <c r="C5" s="20" t="s">
        <v>20</v>
      </c>
      <c r="D5" s="6">
        <v>0</v>
      </c>
      <c r="E5" s="10" t="s">
        <v>7</v>
      </c>
      <c r="F5" s="10" t="s">
        <v>7</v>
      </c>
      <c r="G5" s="10">
        <f t="shared" si="0"/>
        <v>0</v>
      </c>
      <c r="H5" s="10">
        <f t="shared" si="1"/>
        <v>0</v>
      </c>
    </row>
  </sheetData>
  <dataValidations count="1">
    <dataValidation type="list" showInputMessage="1" showErrorMessage="1" sqref="E2:F5" xr:uid="{1A72DDF6-D97A-4580-A0FA-1F75257F15AE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10</xdr:col>
                <xdr:colOff>400050</xdr:colOff>
                <xdr:row>5</xdr:row>
                <xdr:rowOff>9525</xdr:rowOff>
              </from>
              <to>
                <xdr:col>12</xdr:col>
                <xdr:colOff>142875</xdr:colOff>
                <xdr:row>9</xdr:row>
                <xdr:rowOff>9525</xdr:rowOff>
              </to>
            </anchor>
          </controlPr>
        </control>
      </mc:Choice>
      <mc:Fallback>
        <control shapeId="1030" r:id="rId3" name="CommandButton1"/>
      </mc:Fallback>
    </mc:AlternateContent>
    <mc:AlternateContent xmlns:mc="http://schemas.openxmlformats.org/markup-compatibility/2006">
      <mc:Choice Requires="x14">
        <control shapeId="1031" r:id="rId5" name="CommandButton2">
          <controlPr defaultSize="0" autoLine="0" r:id="rId6">
            <anchor moveWithCells="1">
              <from>
                <xdr:col>12</xdr:col>
                <xdr:colOff>295275</xdr:colOff>
                <xdr:row>5</xdr:row>
                <xdr:rowOff>0</xdr:rowOff>
              </from>
              <to>
                <xdr:col>14</xdr:col>
                <xdr:colOff>238125</xdr:colOff>
                <xdr:row>9</xdr:row>
                <xdr:rowOff>0</xdr:rowOff>
              </to>
            </anchor>
          </controlPr>
        </control>
      </mc:Choice>
      <mc:Fallback>
        <control shapeId="1031" r:id="rId5" name="CommandButton2"/>
      </mc:Fallback>
    </mc:AlternateContent>
    <mc:AlternateContent xmlns:mc="http://schemas.openxmlformats.org/markup-compatibility/2006">
      <mc:Choice Requires="x14">
        <control shapeId="1033" r:id="rId7" name="CommandButton3">
          <controlPr defaultSize="0" autoFill="0" autoLine="0" r:id="rId8">
            <anchor moveWithCells="1">
              <from>
                <xdr:col>8</xdr:col>
                <xdr:colOff>200025</xdr:colOff>
                <xdr:row>5</xdr:row>
                <xdr:rowOff>28575</xdr:rowOff>
              </from>
              <to>
                <xdr:col>10</xdr:col>
                <xdr:colOff>247650</xdr:colOff>
                <xdr:row>9</xdr:row>
                <xdr:rowOff>28575</xdr:rowOff>
              </to>
            </anchor>
          </controlPr>
        </control>
      </mc:Choice>
      <mc:Fallback>
        <control shapeId="1033" r:id="rId7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CONTROLE_VT</vt:lpstr>
      <vt:lpstr>SELECAO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Wagner</cp:lastModifiedBy>
  <dcterms:created xsi:type="dcterms:W3CDTF">2024-09-30T11:52:09Z</dcterms:created>
  <dcterms:modified xsi:type="dcterms:W3CDTF">2024-10-11T18:27:02Z</dcterms:modified>
</cp:coreProperties>
</file>