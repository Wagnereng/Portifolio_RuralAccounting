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gne\OneDrive\Documents\"/>
    </mc:Choice>
  </mc:AlternateContent>
  <xr:revisionPtr revIDLastSave="0" documentId="8_{BE8DF869-F071-4436-938B-45B31716CF69}" xr6:coauthVersionLast="47" xr6:coauthVersionMax="47" xr10:uidLastSave="{00000000-0000-0000-0000-000000000000}"/>
  <bookViews>
    <workbookView xWindow="-120" yWindow="-120" windowWidth="20730" windowHeight="11040" activeTab="1" xr2:uid="{664A04A7-4389-4475-9F5C-21D69FE90997}"/>
  </bookViews>
  <sheets>
    <sheet name="Planilha AutoContasÀPagar" sheetId="1" r:id="rId1"/>
    <sheet name="Tabela Dinâmica" sheetId="2" r:id="rId2"/>
  </sheets>
  <calcPr calcId="191029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1" l="1"/>
  <c r="C7" i="1"/>
  <c r="C6" i="1"/>
  <c r="C3" i="1"/>
  <c r="C2" i="1"/>
  <c r="C1" i="1"/>
  <c r="F27" i="1"/>
  <c r="F26" i="1"/>
  <c r="F16" i="1"/>
  <c r="F17" i="1"/>
  <c r="F18" i="1"/>
  <c r="F19" i="1"/>
  <c r="F20" i="1"/>
  <c r="F21" i="1"/>
  <c r="F22" i="1"/>
  <c r="F23" i="1"/>
  <c r="F24" i="1"/>
  <c r="F25" i="1"/>
  <c r="C8" i="1" l="1"/>
  <c r="C9" i="1"/>
  <c r="C5" i="1"/>
  <c r="C4" i="1"/>
</calcChain>
</file>

<file path=xl/sharedStrings.xml><?xml version="1.0" encoding="utf-8"?>
<sst xmlns="http://schemas.openxmlformats.org/spreadsheetml/2006/main" count="57" uniqueCount="34">
  <si>
    <t>TOTAL DE DESPESAS</t>
  </si>
  <si>
    <t>Quantidade de contas EM ABERTO</t>
  </si>
  <si>
    <t>Valor de contas EM ABERTO</t>
  </si>
  <si>
    <t>Quantidade de contas  VENCIDAS</t>
  </si>
  <si>
    <t>Quantidade de contas PAGAS</t>
  </si>
  <si>
    <t>Valor de contas PAGAS</t>
  </si>
  <si>
    <t>Valor de contas VENCIDAS</t>
  </si>
  <si>
    <t>ENERGIA</t>
  </si>
  <si>
    <t>ÁGUA E ESGOTO</t>
  </si>
  <si>
    <t>TELEFONE</t>
  </si>
  <si>
    <t>CELULAR</t>
  </si>
  <si>
    <t>INTERNET</t>
  </si>
  <si>
    <t>ALUGUEL</t>
  </si>
  <si>
    <t xml:space="preserve">SISTEMA DE INFORMÁTICA </t>
  </si>
  <si>
    <t>SERVIÇO DE CONTABILIDADE</t>
  </si>
  <si>
    <t>COMBUSTÍVEIS</t>
  </si>
  <si>
    <t>MANUTENÇÃO DE VEÍCULOS</t>
  </si>
  <si>
    <t>VALOR</t>
  </si>
  <si>
    <t>STATUS</t>
  </si>
  <si>
    <t>VENCIMENTO</t>
  </si>
  <si>
    <t>DIAS PARA VENCIMENTO</t>
  </si>
  <si>
    <t>PAGA</t>
  </si>
  <si>
    <t>EM ABERTO</t>
  </si>
  <si>
    <t>DESPESAS BANCO</t>
  </si>
  <si>
    <t>Quantidade de contas a vencer</t>
  </si>
  <si>
    <t>valor de contas a vencer</t>
  </si>
  <si>
    <t>VALOR:</t>
  </si>
  <si>
    <t>DESPESAS ADMINISTRATIVAS</t>
  </si>
  <si>
    <t>CONSULTA DE CONTA</t>
  </si>
  <si>
    <t>ID</t>
  </si>
  <si>
    <t>CONTAS</t>
  </si>
  <si>
    <t>Rótulos de Linha</t>
  </si>
  <si>
    <t>Total Geral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</si>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</sst>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Times New Roman"/>
      <family val="2"/>
    </font>
    <font>
      <sz val="12"/>
      <color theme="0"/>
      <name val="Times New Roman"/>
      <family val="2"/>
    </font>
    <font>
      <b/>
      <sz val="12"/>
      <color theme="1"/>
      <name val="Times New Roman"/>
      <family val="1"/>
    </font>
    <font>
      <sz val="8"/>
      <name val="Times New Roman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7" borderId="0" xfId="0" applyFont="1" applyFill="1" applyAlignment="1">
      <alignment horizontal="centerContinuous" vertical="center"/>
    </xf>
    <xf numFmtId="0" fontId="2" fillId="0" borderId="0" xfId="0" applyFont="1" applyAlignment="1">
      <alignment horizontal="center"/>
    </xf>
    <xf numFmtId="0" fontId="0" fillId="9" borderId="0" xfId="0" applyFill="1"/>
    <xf numFmtId="16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10" borderId="1" xfId="0" applyFill="1" applyBorder="1"/>
    <xf numFmtId="0" fontId="0" fillId="10" borderId="0" xfId="0" applyFill="1"/>
    <xf numFmtId="0" fontId="0" fillId="11" borderId="0" xfId="0" applyFill="1"/>
    <xf numFmtId="0" fontId="0" fillId="11" borderId="2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1" formatCode="dd/mmm"/>
      <alignment horizontal="center" vertical="bottom" textRotation="0" wrapText="0" indent="0" justifyLastLine="0" shrinkToFit="0" readingOrder="0"/>
    </dxf>
    <dxf>
      <numFmt numFmtId="21" formatCode="dd/m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[Contas a pagar com macro.xlsm]Tabela Dinâmica!Tabela dinâmica1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Contas da Empresa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13524394401847115"/>
              <c:y val="3.8544906024677951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1234813231863678E-2"/>
              <c:y val="-2.7842036986755964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2.5348492916763953E-2"/>
              <c:y val="3.4086221980873077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7.8109606276781374E-2"/>
              <c:y val="-4.1205780311943795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137229075587766E-2"/>
              <c:y val="9.7070624792590307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6.376979350128844E-4"/>
              <c:y val="1.0041572389658162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1.5575096708651858E-2"/>
              <c:y val="8.6719160104986592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1.8108492965880681E-2"/>
              <c:y val="1.9179533592783661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1.8381090414352215E-2"/>
              <c:y val="7.6126346275680774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06197457967397E-2"/>
              <c:y val="-1.1053790689956859E-4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4760783459801904E-2"/>
              <c:y val="-5.5519956557154495E-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Dinâmica'!$B$3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6C0-4106-8130-101676E391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6C0-4106-8130-101676E391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6C0-4106-8130-101676E391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6C0-4106-8130-101676E391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A33-4C7B-A61C-CD047563185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6C0-4106-8130-101676E391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6C0-4106-8130-101676E391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6C0-4106-8130-101676E391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6C0-4106-8130-101676E391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6C0-4106-8130-101676E391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6C0-4106-8130-101676E391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C0-4106-8130-101676E39136}"/>
              </c:ext>
            </c:extLst>
          </c:dPt>
          <c:dLbls>
            <c:dLbl>
              <c:idx val="0"/>
              <c:layout>
                <c:manualLayout>
                  <c:x val="2.5348492916763953E-2"/>
                  <c:y val="3.408622198087307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C0-4106-8130-101676E39136}"/>
                </c:ext>
              </c:extLst>
            </c:dLbl>
            <c:dLbl>
              <c:idx val="1"/>
              <c:layout>
                <c:manualLayout>
                  <c:x val="-0.13524394401847115"/>
                  <c:y val="3.854490602467795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C0-4106-8130-101676E39136}"/>
                </c:ext>
              </c:extLst>
            </c:dLbl>
            <c:dLbl>
              <c:idx val="2"/>
              <c:layout>
                <c:manualLayout>
                  <c:x val="-1.4760783459801904E-2"/>
                  <c:y val="-5.551995655715449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C0-4106-8130-101676E39136}"/>
                </c:ext>
              </c:extLst>
            </c:dLbl>
            <c:dLbl>
              <c:idx val="3"/>
              <c:layout>
                <c:manualLayout>
                  <c:x val="-2.206197457967397E-2"/>
                  <c:y val="-1.1053790689956859E-4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C0-4106-8130-101676E39136}"/>
                </c:ext>
              </c:extLst>
            </c:dLbl>
            <c:dLbl>
              <c:idx val="5"/>
              <c:layout>
                <c:manualLayout>
                  <c:x val="1.8381090414352215E-2"/>
                  <c:y val="7.6126346275680774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C0-4106-8130-101676E39136}"/>
                </c:ext>
              </c:extLst>
            </c:dLbl>
            <c:dLbl>
              <c:idx val="6"/>
              <c:layout>
                <c:manualLayout>
                  <c:x val="1.8108492965880681E-2"/>
                  <c:y val="1.91795335927836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6C0-4106-8130-101676E39136}"/>
                </c:ext>
              </c:extLst>
            </c:dLbl>
            <c:dLbl>
              <c:idx val="7"/>
              <c:layout>
                <c:manualLayout>
                  <c:x val="1.5575096708651858E-2"/>
                  <c:y val="8.6719160104986592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C0-4106-8130-101676E39136}"/>
                </c:ext>
              </c:extLst>
            </c:dLbl>
            <c:dLbl>
              <c:idx val="8"/>
              <c:layout>
                <c:manualLayout>
                  <c:x val="6.376979350128844E-4"/>
                  <c:y val="1.004157238965816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C0-4106-8130-101676E39136}"/>
                </c:ext>
              </c:extLst>
            </c:dLbl>
            <c:dLbl>
              <c:idx val="9"/>
              <c:layout>
                <c:manualLayout>
                  <c:x val="-2.9137229075587766E-2"/>
                  <c:y val="9.707062479259030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C0-4106-8130-101676E39136}"/>
                </c:ext>
              </c:extLst>
            </c:dLbl>
            <c:dLbl>
              <c:idx val="10"/>
              <c:layout>
                <c:manualLayout>
                  <c:x val="7.8109606276781374E-2"/>
                  <c:y val="-4.120578031194379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6C0-4106-8130-101676E39136}"/>
                </c:ext>
              </c:extLst>
            </c:dLbl>
            <c:dLbl>
              <c:idx val="11"/>
              <c:layout>
                <c:manualLayout>
                  <c:x val="5.1234813231863678E-2"/>
                  <c:y val="-2.7842036986755964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C0-4106-8130-101676E39136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Dinâmica'!$A$4:$A$16</c:f>
              <c:strCache>
                <c:ptCount val="12"/>
                <c:pt idx="0">
                  <c:v>ÁGUA E ESGOTO</c:v>
                </c:pt>
                <c:pt idx="1">
                  <c:v>ALUGUEL</c:v>
                </c:pt>
                <c:pt idx="2">
                  <c:v>CELULAR</c:v>
                </c:pt>
                <c:pt idx="3">
                  <c:v>COMBUSTÍVEIS</c:v>
                </c:pt>
                <c:pt idx="4">
                  <c:v>DESPESAS ADMINISTRATIVAS</c:v>
                </c:pt>
                <c:pt idx="5">
                  <c:v>DESPESAS BANCO</c:v>
                </c:pt>
                <c:pt idx="6">
                  <c:v>ENERGIA</c:v>
                </c:pt>
                <c:pt idx="7">
                  <c:v>INTERNET</c:v>
                </c:pt>
                <c:pt idx="8">
                  <c:v>MANUTENÇÃO DE VEÍCULOS</c:v>
                </c:pt>
                <c:pt idx="9">
                  <c:v>SERVIÇO DE CONTABILIDADE</c:v>
                </c:pt>
                <c:pt idx="10">
                  <c:v>SISTEMA DE INFORMÁTICA </c:v>
                </c:pt>
                <c:pt idx="11">
                  <c:v>TELEFONE</c:v>
                </c:pt>
              </c:strCache>
            </c:strRef>
          </c:cat>
          <c:val>
            <c:numRef>
              <c:f>'Tabela Dinâmica'!$B$4:$B$16</c:f>
              <c:numCache>
                <c:formatCode>General</c:formatCode>
                <c:ptCount val="12"/>
                <c:pt idx="0">
                  <c:v>290</c:v>
                </c:pt>
                <c:pt idx="1">
                  <c:v>5000</c:v>
                </c:pt>
                <c:pt idx="2">
                  <c:v>197</c:v>
                </c:pt>
                <c:pt idx="3">
                  <c:v>2120</c:v>
                </c:pt>
                <c:pt idx="4">
                  <c:v>12000</c:v>
                </c:pt>
                <c:pt idx="5">
                  <c:v>600</c:v>
                </c:pt>
                <c:pt idx="6">
                  <c:v>850</c:v>
                </c:pt>
                <c:pt idx="7">
                  <c:v>350</c:v>
                </c:pt>
                <c:pt idx="8">
                  <c:v>1600</c:v>
                </c:pt>
                <c:pt idx="9">
                  <c:v>1045</c:v>
                </c:pt>
                <c:pt idx="10">
                  <c:v>290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C0-4106-8130-101676E3913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4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685799</xdr:colOff>
      <xdr:row>1</xdr:row>
      <xdr:rowOff>9525</xdr:rowOff>
    </xdr:from>
    <xdr:to>
      <xdr:col>10</xdr:col>
      <xdr:colOff>85725</xdr:colOff>
      <xdr:row>21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CDC2A10-5549-438B-9796-B07F0B08A3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gner Vitor dos Santos Furtado" refreshedDate="44684.516976736108" createdVersion="7" refreshedVersion="7" minRefreshableVersion="3" recordCount="13" xr:uid="{6C320D84-AB77-4633-8B0A-29F40CBE15B4}">
  <cacheSource type="worksheet">
    <worksheetSource ref="A14:F27" sheet="Planilha AutoContasÀPagar"/>
  </cacheSource>
  <cacheFields count="6">
    <cacheField name="ID" numFmtId="0">
      <sharedItems containsString="0" containsBlank="1" containsNumber="1" containsInteger="1" minValue="1" maxValue="12"/>
    </cacheField>
    <cacheField name="CONTAS" numFmtId="0">
      <sharedItems containsBlank="1" count="13">
        <m/>
        <s v="ENERGIA"/>
        <s v="ÁGUA E ESGOTO"/>
        <s v="TELEFONE"/>
        <s v="CELULAR"/>
        <s v="INTERNET"/>
        <s v="ALUGUEL"/>
        <s v="SISTEMA DE INFORMÁTICA "/>
        <s v="SERVIÇO DE CONTABILIDADE"/>
        <s v="COMBUSTÍVEIS"/>
        <s v="MANUTENÇÃO DE VEÍCULOS"/>
        <s v="DESPESAS BANCO"/>
        <s v="DESPESAS ADMINISTRATIVAS"/>
      </sharedItems>
    </cacheField>
    <cacheField name="VALOR" numFmtId="0">
      <sharedItems containsString="0" containsBlank="1" containsNumber="1" containsInteger="1" minValue="197" maxValue="12000"/>
    </cacheField>
    <cacheField name="STATUS" numFmtId="0">
      <sharedItems containsBlank="1"/>
    </cacheField>
    <cacheField name="VENCIMENTO" numFmtId="0">
      <sharedItems containsNonDate="0" containsDate="1" containsString="0" containsBlank="1" minDate="2022-03-30T00:00:00" maxDate="2022-05-11T00:00:00"/>
    </cacheField>
    <cacheField name="DIAS PARA VENCIMENTO" numFmtId="0">
      <sharedItems containsBlank="1" containsMixedTypes="1" containsNumber="1" containsInteger="1" minValue="-3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m/>
    <x v="0"/>
    <m/>
    <m/>
    <m/>
    <m/>
  </r>
  <r>
    <n v="1"/>
    <x v="1"/>
    <n v="850"/>
    <s v="PAGA"/>
    <d v="2022-03-30T00:00:00"/>
    <s v="-"/>
  </r>
  <r>
    <n v="2"/>
    <x v="2"/>
    <n v="290"/>
    <s v="PAGA"/>
    <d v="2022-03-31T00:00:00"/>
    <s v="-"/>
  </r>
  <r>
    <n v="3"/>
    <x v="3"/>
    <n v="500"/>
    <s v="PAGA"/>
    <d v="2022-03-31T00:00:00"/>
    <s v="-"/>
  </r>
  <r>
    <n v="4"/>
    <x v="4"/>
    <n v="197"/>
    <s v="PAGA"/>
    <d v="2022-04-01T00:00:00"/>
    <s v="-"/>
  </r>
  <r>
    <n v="5"/>
    <x v="5"/>
    <n v="350"/>
    <s v="PAGA"/>
    <d v="2022-04-01T00:00:00"/>
    <s v="-"/>
  </r>
  <r>
    <n v="6"/>
    <x v="6"/>
    <n v="5000"/>
    <s v="EM ABERTO"/>
    <d v="2022-04-02T00:00:00"/>
    <n v="-31"/>
  </r>
  <r>
    <n v="7"/>
    <x v="7"/>
    <n v="290"/>
    <s v="PAGA"/>
    <d v="2022-04-05T00:00:00"/>
    <s v="-"/>
  </r>
  <r>
    <n v="8"/>
    <x v="8"/>
    <n v="1045"/>
    <s v="EM ABERTO"/>
    <d v="2022-04-05T00:00:00"/>
    <n v="-28"/>
  </r>
  <r>
    <n v="9"/>
    <x v="9"/>
    <n v="2120"/>
    <s v="PAGA"/>
    <d v="2022-04-06T00:00:00"/>
    <s v="-"/>
  </r>
  <r>
    <n v="10"/>
    <x v="10"/>
    <n v="1600"/>
    <s v="EM ABERTO"/>
    <d v="2022-04-07T00:00:00"/>
    <n v="-26"/>
  </r>
  <r>
    <n v="11"/>
    <x v="11"/>
    <n v="600"/>
    <s v="EM ABERTO"/>
    <d v="2022-05-05T00:00:00"/>
    <n v="2"/>
  </r>
  <r>
    <n v="12"/>
    <x v="12"/>
    <n v="12000"/>
    <s v="EM ABERTO"/>
    <d v="2022-05-10T00:00:00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E29B-F6E0-4620-B4F3-E9FFA90236AC}" name="Tabela dinâmica1" cacheId="1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1">
  <location ref="A3:B16" firstHeaderRow="1" firstDataRow="1" firstDataCol="1"/>
  <pivotFields count="6">
    <pivotField multipleItemSelectionAllowed="1" showAll="0"/>
    <pivotField axis="axisRow" showAll="0">
      <items count="14">
        <item x="2"/>
        <item x="6"/>
        <item x="4"/>
        <item x="9"/>
        <item x="12"/>
        <item x="11"/>
        <item x="1"/>
        <item x="5"/>
        <item x="10"/>
        <item x="8"/>
        <item x="7"/>
        <item x="3"/>
        <item h="1" x="0"/>
        <item t="default"/>
      </items>
    </pivotField>
    <pivotField dataField="1"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ALOR" fld="2" baseField="0" baseItem="0"/>
  </dataFields>
  <chartFormats count="13">
    <chartFormat chart="4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69422B-C43F-4D03-81CA-2ECDCFF9EF90}" name="Tabela1" displayName="Tabela1" ref="A16:F28" headerRowCount="0" totalsRowShown="0" headerRowDxfId="11" dataDxfId="10">
  <tableColumns count="6">
    <tableColumn id="1" xr3:uid="{6A97CE10-564F-4D87-ADD3-FCA09C3A5BBB}" name="Coluna1" headerRowDxfId="9" dataDxfId="8"/>
    <tableColumn id="2" xr3:uid="{FD319E97-E0F7-406F-A063-45E7185791CC}" name="Coluna2"/>
    <tableColumn id="3" xr3:uid="{86F221EC-C87E-4CBB-AF47-0D61886B62EC}" name="Coluna3" headerRowDxfId="7" dataDxfId="6"/>
    <tableColumn id="4" xr3:uid="{A42D946E-4D5E-4FDF-83A0-7492F5DCEB45}" name="Coluna4" headerRowDxfId="5" dataDxfId="4"/>
    <tableColumn id="5" xr3:uid="{695F80BD-E38E-44DD-9715-A3FA97FC7894}" name="Coluna5" headerRowDxfId="3" dataDxfId="2"/>
    <tableColumn id="6" xr3:uid="{44D4DF40-CB88-422D-B9F0-C33E9C79D1AB}" name="Coluna6" headerRowDxfId="1" dataDxfId="0">
      <calculatedColumnFormula>IF(D16="PAGA","-",E16-TODAY())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F1879-4ACD-4CD9-97A7-0BA9FB548B24}">
  <sheetPr codeName="Planilha1"/>
  <dimension ref="A1:F28"/>
  <sheetViews>
    <sheetView workbookViewId="0">
      <selection activeCell="C17" sqref="C17"/>
    </sheetView>
  </sheetViews>
  <sheetFormatPr defaultRowHeight="15.75" x14ac:dyDescent="0.25"/>
  <cols>
    <col min="1" max="1" width="9.625" customWidth="1"/>
    <col min="2" max="2" width="29.5" bestFit="1" customWidth="1"/>
    <col min="3" max="3" width="11.125" customWidth="1"/>
    <col min="4" max="4" width="11.875" bestFit="1" customWidth="1"/>
    <col min="5" max="5" width="24.625" bestFit="1" customWidth="1"/>
    <col min="6" max="6" width="14.875" customWidth="1"/>
  </cols>
  <sheetData>
    <row r="1" spans="1:6" x14ac:dyDescent="0.25">
      <c r="B1" s="1" t="s">
        <v>0</v>
      </c>
      <c r="C1" s="5">
        <f>SUM(C16:C28)</f>
        <v>24842</v>
      </c>
    </row>
    <row r="2" spans="1:6" x14ac:dyDescent="0.25">
      <c r="B2" s="4" t="s">
        <v>1</v>
      </c>
      <c r="C2" s="5">
        <f>COUNTIF(D16:D28,"EM ABERTO")</f>
        <v>5</v>
      </c>
    </row>
    <row r="3" spans="1:6" x14ac:dyDescent="0.25">
      <c r="B3" s="4" t="s">
        <v>2</v>
      </c>
      <c r="C3" s="5">
        <f>SUMIF(D16:D28,"EM ABERTO",C16:C28)</f>
        <v>20245</v>
      </c>
    </row>
    <row r="4" spans="1:6" x14ac:dyDescent="0.25">
      <c r="B4" s="2" t="s">
        <v>3</v>
      </c>
      <c r="C4" s="5">
        <f ca="1">COUNTIF(F16:F28,"&lt;0")</f>
        <v>3</v>
      </c>
    </row>
    <row r="5" spans="1:6" x14ac:dyDescent="0.25">
      <c r="B5" s="2" t="s">
        <v>6</v>
      </c>
      <c r="C5" s="5">
        <f ca="1">SUMIF(F16:F28,"&lt;0",C16:C28)</f>
        <v>7645</v>
      </c>
    </row>
    <row r="6" spans="1:6" x14ac:dyDescent="0.25">
      <c r="B6" s="3" t="s">
        <v>4</v>
      </c>
      <c r="C6" s="5">
        <f>COUNTIF(D16:D28,"paga")</f>
        <v>7</v>
      </c>
    </row>
    <row r="7" spans="1:6" x14ac:dyDescent="0.25">
      <c r="B7" s="3" t="s">
        <v>5</v>
      </c>
      <c r="C7" s="5">
        <f>SUMIF(D16:D28,"paga",C16:C28)</f>
        <v>4597</v>
      </c>
    </row>
    <row r="8" spans="1:6" x14ac:dyDescent="0.25">
      <c r="B8" s="9" t="s">
        <v>24</v>
      </c>
      <c r="C8" s="5">
        <f ca="1">COUNTIF(F16:F28,"&gt;=0")</f>
        <v>2</v>
      </c>
      <c r="E8" s="14" t="s">
        <v>28</v>
      </c>
      <c r="F8" s="13" t="s">
        <v>7</v>
      </c>
    </row>
    <row r="9" spans="1:6" x14ac:dyDescent="0.25">
      <c r="B9" s="9" t="s">
        <v>25</v>
      </c>
      <c r="C9" s="5">
        <f ca="1">SUMIF(F16:F28,"&gt;=0",C16:C28)</f>
        <v>12600</v>
      </c>
      <c r="E9" s="15" t="s">
        <v>26</v>
      </c>
      <c r="F9" s="16">
        <f>INDEX(C16:C28,MATCH(F8,B16:B28,0))</f>
        <v>850</v>
      </c>
    </row>
    <row r="14" spans="1:6" ht="31.5" x14ac:dyDescent="0.25">
      <c r="A14" s="7" t="s">
        <v>29</v>
      </c>
      <c r="B14" s="7" t="s">
        <v>30</v>
      </c>
      <c r="C14" s="11" t="s">
        <v>17</v>
      </c>
      <c r="D14" s="11" t="s">
        <v>18</v>
      </c>
      <c r="E14" s="11" t="s">
        <v>19</v>
      </c>
      <c r="F14" s="12" t="s">
        <v>20</v>
      </c>
    </row>
    <row r="15" spans="1:6" ht="3" customHeight="1" x14ac:dyDescent="0.25"/>
    <row r="16" spans="1:6" x14ac:dyDescent="0.25">
      <c r="A16" s="8">
        <v>1</v>
      </c>
      <c r="B16" t="s">
        <v>7</v>
      </c>
      <c r="C16" s="6">
        <v>850</v>
      </c>
      <c r="D16" s="6" t="s">
        <v>21</v>
      </c>
      <c r="E16" s="10">
        <v>44650</v>
      </c>
      <c r="F16" s="6" t="str">
        <f ca="1">IF(D16="PAGA","-",E16-TODAY())</f>
        <v>-</v>
      </c>
    </row>
    <row r="17" spans="1:6" x14ac:dyDescent="0.25">
      <c r="A17" s="8">
        <v>2</v>
      </c>
      <c r="B17" t="s">
        <v>8</v>
      </c>
      <c r="C17" s="6">
        <v>290</v>
      </c>
      <c r="D17" s="6" t="s">
        <v>21</v>
      </c>
      <c r="E17" s="10">
        <v>44651</v>
      </c>
      <c r="F17" s="6" t="str">
        <f t="shared" ref="F17:F26" ca="1" si="0">IF(D17="PAGA","-",E17-TODAY())</f>
        <v>-</v>
      </c>
    </row>
    <row r="18" spans="1:6" x14ac:dyDescent="0.25">
      <c r="A18" s="8">
        <v>3</v>
      </c>
      <c r="B18" t="s">
        <v>9</v>
      </c>
      <c r="C18" s="6">
        <v>500</v>
      </c>
      <c r="D18" s="6" t="s">
        <v>21</v>
      </c>
      <c r="E18" s="10">
        <v>44651</v>
      </c>
      <c r="F18" s="6" t="str">
        <f t="shared" ca="1" si="0"/>
        <v>-</v>
      </c>
    </row>
    <row r="19" spans="1:6" x14ac:dyDescent="0.25">
      <c r="A19" s="8">
        <v>4</v>
      </c>
      <c r="B19" t="s">
        <v>10</v>
      </c>
      <c r="C19" s="6">
        <v>197</v>
      </c>
      <c r="D19" s="6" t="s">
        <v>21</v>
      </c>
      <c r="E19" s="10">
        <v>44652</v>
      </c>
      <c r="F19" s="6" t="str">
        <f t="shared" ca="1" si="0"/>
        <v>-</v>
      </c>
    </row>
    <row r="20" spans="1:6" x14ac:dyDescent="0.25">
      <c r="A20" s="8">
        <v>5</v>
      </c>
      <c r="B20" t="s">
        <v>11</v>
      </c>
      <c r="C20" s="6">
        <v>350</v>
      </c>
      <c r="D20" s="6" t="s">
        <v>21</v>
      </c>
      <c r="E20" s="10">
        <v>44652</v>
      </c>
      <c r="F20" s="6" t="str">
        <f t="shared" ca="1" si="0"/>
        <v>-</v>
      </c>
    </row>
    <row r="21" spans="1:6" x14ac:dyDescent="0.25">
      <c r="A21" s="8">
        <v>6</v>
      </c>
      <c r="B21" t="s">
        <v>12</v>
      </c>
      <c r="C21" s="6">
        <v>5000</v>
      </c>
      <c r="D21" s="6" t="s">
        <v>22</v>
      </c>
      <c r="E21" s="10">
        <v>44653</v>
      </c>
      <c r="F21" s="6">
        <f t="shared" ca="1" si="0"/>
        <v>-31</v>
      </c>
    </row>
    <row r="22" spans="1:6" x14ac:dyDescent="0.25">
      <c r="A22" s="8">
        <v>7</v>
      </c>
      <c r="B22" t="s">
        <v>13</v>
      </c>
      <c r="C22" s="6">
        <v>290</v>
      </c>
      <c r="D22" s="6" t="s">
        <v>21</v>
      </c>
      <c r="E22" s="10">
        <v>44656</v>
      </c>
      <c r="F22" s="6" t="str">
        <f t="shared" ca="1" si="0"/>
        <v>-</v>
      </c>
    </row>
    <row r="23" spans="1:6" x14ac:dyDescent="0.25">
      <c r="A23" s="8">
        <v>8</v>
      </c>
      <c r="B23" t="s">
        <v>14</v>
      </c>
      <c r="C23" s="6">
        <v>1045</v>
      </c>
      <c r="D23" s="6" t="s">
        <v>22</v>
      </c>
      <c r="E23" s="10">
        <v>44656</v>
      </c>
      <c r="F23" s="6">
        <f t="shared" ca="1" si="0"/>
        <v>-28</v>
      </c>
    </row>
    <row r="24" spans="1:6" x14ac:dyDescent="0.25">
      <c r="A24" s="8">
        <v>9</v>
      </c>
      <c r="B24" t="s">
        <v>15</v>
      </c>
      <c r="C24" s="6">
        <v>2120</v>
      </c>
      <c r="D24" s="6" t="s">
        <v>21</v>
      </c>
      <c r="E24" s="10">
        <v>44657</v>
      </c>
      <c r="F24" s="6" t="str">
        <f t="shared" ca="1" si="0"/>
        <v>-</v>
      </c>
    </row>
    <row r="25" spans="1:6" x14ac:dyDescent="0.25">
      <c r="A25" s="8">
        <v>10</v>
      </c>
      <c r="B25" t="s">
        <v>16</v>
      </c>
      <c r="C25" s="6">
        <v>1600</v>
      </c>
      <c r="D25" s="6" t="s">
        <v>22</v>
      </c>
      <c r="E25" s="10">
        <v>44658</v>
      </c>
      <c r="F25" s="6">
        <f t="shared" ca="1" si="0"/>
        <v>-26</v>
      </c>
    </row>
    <row r="26" spans="1:6" x14ac:dyDescent="0.25">
      <c r="A26" s="8">
        <v>11</v>
      </c>
      <c r="B26" t="s">
        <v>23</v>
      </c>
      <c r="C26" s="6">
        <v>600</v>
      </c>
      <c r="D26" s="6" t="s">
        <v>22</v>
      </c>
      <c r="E26" s="10">
        <v>44686</v>
      </c>
      <c r="F26" s="6">
        <f t="shared" ca="1" si="0"/>
        <v>2</v>
      </c>
    </row>
    <row r="27" spans="1:6" x14ac:dyDescent="0.25">
      <c r="A27" s="8">
        <v>12</v>
      </c>
      <c r="B27" t="s">
        <v>27</v>
      </c>
      <c r="C27" s="6">
        <v>12000</v>
      </c>
      <c r="D27" s="6" t="s">
        <v>22</v>
      </c>
      <c r="E27" s="10">
        <v>44691</v>
      </c>
      <c r="F27" s="6">
        <f ca="1">IF(D27="PAGA","-",E27-TODAY())</f>
        <v>7</v>
      </c>
    </row>
    <row r="28" spans="1:6" x14ac:dyDescent="0.25">
      <c r="A28" s="8"/>
      <c r="C28" s="6"/>
      <c r="D28" s="6"/>
      <c r="E28" s="10"/>
      <c r="F28" s="6"/>
    </row>
  </sheetData>
  <phoneticPr fontId="3" type="noConversion"/>
  <dataValidations count="1">
    <dataValidation type="list" allowBlank="1" showInputMessage="1" showErrorMessage="1" sqref="D16:D25" xr:uid="{EB9066F5-40A7-407E-832B-7B715D20BE41}">
      <formula1>"PAGA,EM ABERTO"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B58B3-797E-45FE-BC0A-FA79A91ED547}">
  <sheetPr codeName="Planilha2"/>
  <dimension ref="A3:B16"/>
  <sheetViews>
    <sheetView tabSelected="1" workbookViewId="0">
      <selection activeCell="A6" sqref="A6"/>
    </sheetView>
  </sheetViews>
  <sheetFormatPr defaultRowHeight="15.75" x14ac:dyDescent="0.25"/>
  <cols>
    <col min="1" max="1" width="29.125" bestFit="1" customWidth="1"/>
    <col min="2" max="2" width="15.625" bestFit="1" customWidth="1"/>
  </cols>
  <sheetData>
    <row r="3" spans="1:2" x14ac:dyDescent="0.25">
      <c r="A3" s="17" t="s">
        <v>31</v>
      </c>
      <c r="B3" t="s">
        <v>33</v>
      </c>
    </row>
    <row r="4" spans="1:2" x14ac:dyDescent="0.25">
      <c r="A4" s="18" t="s">
        <v>8</v>
      </c>
      <c r="B4" s="19">
        <v>290</v>
      </c>
    </row>
    <row r="5" spans="1:2" x14ac:dyDescent="0.25">
      <c r="A5" s="18" t="s">
        <v>12</v>
      </c>
      <c r="B5" s="19">
        <v>5000</v>
      </c>
    </row>
    <row r="6" spans="1:2" x14ac:dyDescent="0.25">
      <c r="A6" s="18" t="s">
        <v>10</v>
      </c>
      <c r="B6" s="19">
        <v>197</v>
      </c>
    </row>
    <row r="7" spans="1:2" x14ac:dyDescent="0.25">
      <c r="A7" s="18" t="s">
        <v>15</v>
      </c>
      <c r="B7" s="19">
        <v>2120</v>
      </c>
    </row>
    <row r="8" spans="1:2" x14ac:dyDescent="0.25">
      <c r="A8" s="18" t="s">
        <v>27</v>
      </c>
      <c r="B8" s="19">
        <v>12000</v>
      </c>
    </row>
    <row r="9" spans="1:2" x14ac:dyDescent="0.25">
      <c r="A9" s="18" t="s">
        <v>23</v>
      </c>
      <c r="B9" s="19">
        <v>600</v>
      </c>
    </row>
    <row r="10" spans="1:2" x14ac:dyDescent="0.25">
      <c r="A10" s="18" t="s">
        <v>7</v>
      </c>
      <c r="B10" s="19">
        <v>850</v>
      </c>
    </row>
    <row r="11" spans="1:2" x14ac:dyDescent="0.25">
      <c r="A11" s="18" t="s">
        <v>11</v>
      </c>
      <c r="B11" s="19">
        <v>350</v>
      </c>
    </row>
    <row r="12" spans="1:2" x14ac:dyDescent="0.25">
      <c r="A12" s="18" t="s">
        <v>16</v>
      </c>
      <c r="B12" s="19">
        <v>1600</v>
      </c>
    </row>
    <row r="13" spans="1:2" x14ac:dyDescent="0.25">
      <c r="A13" s="18" t="s">
        <v>14</v>
      </c>
      <c r="B13" s="19">
        <v>1045</v>
      </c>
    </row>
    <row r="14" spans="1:2" x14ac:dyDescent="0.25">
      <c r="A14" s="18" t="s">
        <v>13</v>
      </c>
      <c r="B14" s="19">
        <v>290</v>
      </c>
    </row>
    <row r="15" spans="1:2" x14ac:dyDescent="0.25">
      <c r="A15" s="18" t="s">
        <v>9</v>
      </c>
      <c r="B15" s="19">
        <v>500</v>
      </c>
    </row>
    <row r="16" spans="1:2" x14ac:dyDescent="0.25">
      <c r="A16" s="18" t="s">
        <v>32</v>
      </c>
      <c r="B16" s="19">
        <v>24842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 AutoContasÀPagar</vt:lpstr>
      <vt:lpstr>Tabela 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Vitor dos Santos Furtado</dc:creator>
  <cp:lastModifiedBy>Wagner Vitor dos Santos Furtado</cp:lastModifiedBy>
  <dcterms:created xsi:type="dcterms:W3CDTF">2022-05-01T18:01:37Z</dcterms:created>
  <dcterms:modified xsi:type="dcterms:W3CDTF">2022-05-03T15:25:10Z</dcterms:modified>
</cp:coreProperties>
</file>