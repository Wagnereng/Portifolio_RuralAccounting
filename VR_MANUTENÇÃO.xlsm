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Z:\5_RH\0 - FECHAMENTO VT_VR_ MENSAL\9º - MANUTENÇÃO\2024\11.24\"/>
    </mc:Choice>
  </mc:AlternateContent>
  <xr:revisionPtr revIDLastSave="0" documentId="13_ncr:1_{F322FFCA-4023-474F-8470-06A4A00A626F}" xr6:coauthVersionLast="47" xr6:coauthVersionMax="47" xr10:uidLastSave="{00000000-0000-0000-0000-000000000000}"/>
  <bookViews>
    <workbookView xWindow="-28920" yWindow="-120" windowWidth="29040" windowHeight="15840" xr2:uid="{01D0B210-AF09-4BD4-8578-ECDF2F36E9C3}"/>
  </bookViews>
  <sheets>
    <sheet name="CONTROLE_BENEFÍCIOS" sheetId="6" r:id="rId1"/>
  </sheets>
  <definedNames>
    <definedName name="NOMEFUNC">CONTROLE_BENEFÍCIOS!$E$2:$E$5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6" l="1"/>
  <c r="M3" i="6" s="1"/>
  <c r="L4" i="6"/>
  <c r="M4" i="6" s="1"/>
  <c r="L5" i="6"/>
  <c r="M5" i="6" s="1"/>
  <c r="L2" i="6"/>
  <c r="M2" i="6" s="1"/>
  <c r="M6" i="6" l="1"/>
</calcChain>
</file>

<file path=xl/sharedStrings.xml><?xml version="1.0" encoding="utf-8"?>
<sst xmlns="http://schemas.openxmlformats.org/spreadsheetml/2006/main" count="31" uniqueCount="31">
  <si>
    <t>Nº</t>
  </si>
  <si>
    <t xml:space="preserve">ADMISSÃO </t>
  </si>
  <si>
    <t>CPF</t>
  </si>
  <si>
    <t>NOME FUNCIONÁRIO</t>
  </si>
  <si>
    <t xml:space="preserve">OBSERVAÇÕES </t>
  </si>
  <si>
    <t>MATRÍCULA</t>
  </si>
  <si>
    <t xml:space="preserve">FALTA S/ JUSTIFICATIVA </t>
  </si>
  <si>
    <t>ATESTADO MÉDICO</t>
  </si>
  <si>
    <t>FÉRIAS</t>
  </si>
  <si>
    <t>Dias Corridos:</t>
  </si>
  <si>
    <t>VR</t>
  </si>
  <si>
    <t>Valor Base VR:</t>
  </si>
  <si>
    <t>Desconto Dia VR:</t>
  </si>
  <si>
    <t>Desc. Assiduidade:</t>
  </si>
  <si>
    <t>TOTAL</t>
  </si>
  <si>
    <t>Período de Contabilização:</t>
  </si>
  <si>
    <t>25/08 à 25/09</t>
  </si>
  <si>
    <t>Dias a se Contabilizar:</t>
  </si>
  <si>
    <t>Segunda à Sábado (alternado)</t>
  </si>
  <si>
    <t>AFASTAMENTO INSS</t>
  </si>
  <si>
    <t>DESC. ASSIDUIDADE</t>
  </si>
  <si>
    <t>DIAS TRABALHADOS</t>
  </si>
  <si>
    <t>DSR</t>
  </si>
  <si>
    <t>030.437.082-70</t>
  </si>
  <si>
    <t xml:space="preserve">JOSE RAIMUNDO DA SILVA SANTOS </t>
  </si>
  <si>
    <t>562.989.869-87</t>
  </si>
  <si>
    <t xml:space="preserve">MISAEL PEREIRA LUCIO </t>
  </si>
  <si>
    <t>115.234.719-56</t>
  </si>
  <si>
    <t xml:space="preserve">RUBENS AFONSO DE SOUZA </t>
  </si>
  <si>
    <t>713.494.062-44</t>
  </si>
  <si>
    <t>VICTOR ELIAS PRADO CERMENO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</si>
</sst>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22"/>
      <color theme="1"/>
      <name val="Bodoni MT Condensed"/>
      <family val="1"/>
    </font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name val="Book Antiqua"/>
      <family val="1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Protection="1">
      <protection locked="0"/>
    </xf>
    <xf numFmtId="0" fontId="1" fillId="2" borderId="1" xfId="0" applyFont="1" applyFill="1" applyBorder="1" applyAlignment="1" applyProtection="1">
      <alignment vertical="center"/>
      <protection locked="0"/>
    </xf>
    <xf numFmtId="0" fontId="1" fillId="2" borderId="3" xfId="0" applyFont="1" applyFill="1" applyBorder="1" applyAlignment="1" applyProtection="1">
      <alignment vertical="center"/>
      <protection locked="0"/>
    </xf>
    <xf numFmtId="0" fontId="1" fillId="2" borderId="7" xfId="0" applyFont="1" applyFill="1" applyBorder="1" applyAlignment="1" applyProtection="1">
      <alignment vertical="center"/>
      <protection locked="0"/>
    </xf>
    <xf numFmtId="0" fontId="1" fillId="2" borderId="2" xfId="0" applyFont="1" applyFill="1" applyBorder="1" applyAlignment="1" applyProtection="1">
      <alignment vertical="center"/>
      <protection locked="0"/>
    </xf>
    <xf numFmtId="44" fontId="1" fillId="2" borderId="6" xfId="1" applyFont="1" applyFill="1" applyBorder="1" applyAlignment="1" applyProtection="1">
      <alignment vertical="center"/>
      <protection locked="0"/>
    </xf>
    <xf numFmtId="0" fontId="1" fillId="2" borderId="5" xfId="0" applyFont="1" applyFill="1" applyBorder="1" applyAlignment="1" applyProtection="1">
      <alignment horizontal="right" vertical="center"/>
      <protection locked="0"/>
    </xf>
    <xf numFmtId="0" fontId="1" fillId="2" borderId="5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4" fontId="3" fillId="0" borderId="1" xfId="1" applyFont="1" applyFill="1" applyBorder="1" applyAlignment="1" applyProtection="1">
      <alignment horizontal="center" vertical="center"/>
      <protection locked="0"/>
    </xf>
    <xf numFmtId="0" fontId="4" fillId="3" borderId="4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center" vertical="center"/>
    </xf>
    <xf numFmtId="14" fontId="7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14" fontId="6" fillId="0" borderId="1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44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right"/>
    </xf>
    <xf numFmtId="0" fontId="5" fillId="0" borderId="0" xfId="0" applyFont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left" vertical="center" wrapText="1"/>
      <protection locked="0"/>
    </xf>
    <xf numFmtId="14" fontId="7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7" fillId="2" borderId="8" xfId="0" applyFont="1" applyFill="1" applyBorder="1" applyAlignment="1" applyProtection="1">
      <alignment horizontal="center" vertical="center" wrapText="1"/>
      <protection locked="0"/>
    </xf>
    <xf numFmtId="0" fontId="6" fillId="2" borderId="1" xfId="0" applyFont="1" applyFill="1" applyBorder="1" applyAlignment="1" applyProtection="1">
      <alignment horizont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horizontal="center" vertical="center"/>
      <protection locked="0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00FF00"/>
      <color rgb="FF49876E"/>
      <color rgb="FF6BC25C"/>
      <color rgb="FFCCECFF"/>
      <color rgb="FFFF0066"/>
      <color rgb="FF5D62C1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8</xdr:row>
          <xdr:rowOff>0</xdr:rowOff>
        </xdr:from>
        <xdr:to>
          <xdr:col>16</xdr:col>
          <xdr:colOff>2133600</xdr:colOff>
          <xdr:row>12</xdr:row>
          <xdr:rowOff>95250</xdr:rowOff>
        </xdr:to>
        <xdr:sp macro="" textlink="">
          <xdr:nvSpPr>
            <xdr:cNvPr id="6149" name="CommandButton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0</xdr:colOff>
      <xdr:row>0</xdr:row>
      <xdr:rowOff>28575</xdr:rowOff>
    </xdr:from>
    <xdr:to>
      <xdr:col>18</xdr:col>
      <xdr:colOff>9525</xdr:colOff>
      <xdr:row>0</xdr:row>
      <xdr:rowOff>361950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F90014B3-E1FA-A14C-0EC2-CE49C637FF55}"/>
            </a:ext>
          </a:extLst>
        </xdr:cNvPr>
        <xdr:cNvSpPr txBox="1"/>
      </xdr:nvSpPr>
      <xdr:spPr>
        <a:xfrm>
          <a:off x="21802725" y="28575"/>
          <a:ext cx="4695825" cy="33337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600" b="1"/>
            <a:t>Checklist Benefícios</a:t>
          </a:r>
        </a:p>
      </xdr:txBody>
    </xdr:sp>
    <xdr:clientData/>
  </xdr:twoCellAnchor>
  <xdr:twoCellAnchor editAs="oneCell">
    <xdr:from>
      <xdr:col>16</xdr:col>
      <xdr:colOff>66675</xdr:colOff>
      <xdr:row>0</xdr:row>
      <xdr:rowOff>95250</xdr:rowOff>
    </xdr:from>
    <xdr:to>
      <xdr:col>16</xdr:col>
      <xdr:colOff>942975</xdr:colOff>
      <xdr:row>0</xdr:row>
      <xdr:rowOff>333375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1F2C3E8-BF16-C316-3425-1BC0970EB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69400" y="95250"/>
          <a:ext cx="876300" cy="238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1276350</xdr:colOff>
          <xdr:row>8</xdr:row>
          <xdr:rowOff>9525</xdr:rowOff>
        </xdr:from>
        <xdr:to>
          <xdr:col>16</xdr:col>
          <xdr:colOff>381000</xdr:colOff>
          <xdr:row>12</xdr:row>
          <xdr:rowOff>104775</xdr:rowOff>
        </xdr:to>
        <xdr:sp macro="" textlink="">
          <xdr:nvSpPr>
            <xdr:cNvPr id="6157" name="CommandButton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7</xdr:row>
          <xdr:rowOff>161925</xdr:rowOff>
        </xdr:from>
        <xdr:to>
          <xdr:col>17</xdr:col>
          <xdr:colOff>1628775</xdr:colOff>
          <xdr:row>12</xdr:row>
          <xdr:rowOff>104775</xdr:rowOff>
        </xdr:to>
        <xdr:sp macro="" textlink="">
          <xdr:nvSpPr>
            <xdr:cNvPr id="6158" name="CommandButton2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62B49-FB5A-4A05-B84B-39FCC3C5011C}">
  <sheetPr codeName="Planilha1"/>
  <dimension ref="A1:R7"/>
  <sheetViews>
    <sheetView tabSelected="1" zoomScale="70" zoomScaleNormal="70" workbookViewId="0">
      <pane ySplit="1" topLeftCell="A2" activePane="bottomLeft" state="frozen"/>
      <selection pane="bottomLeft" activeCell="K1" sqref="K1"/>
    </sheetView>
  </sheetViews>
  <sheetFormatPr defaultRowHeight="15" x14ac:dyDescent="0.25"/>
  <cols>
    <col min="1" max="1" width="4" customWidth="1"/>
    <col min="2" max="2" width="14.28515625" bestFit="1" customWidth="1"/>
    <col min="3" max="3" width="15" customWidth="1"/>
    <col min="4" max="4" width="18.140625" customWidth="1"/>
    <col min="5" max="5" width="39.5703125" customWidth="1"/>
    <col min="6" max="6" width="6.42578125" customWidth="1"/>
    <col min="7" max="7" width="18.5703125" bestFit="1" customWidth="1"/>
    <col min="8" max="8" width="20.7109375" customWidth="1"/>
    <col min="9" max="9" width="25.28515625" bestFit="1" customWidth="1"/>
    <col min="10" max="10" width="9.5703125" customWidth="1"/>
    <col min="11" max="11" width="25.28515625" bestFit="1" customWidth="1"/>
    <col min="12" max="12" width="24.5703125" customWidth="1"/>
    <col min="13" max="13" width="19.7109375" bestFit="1" customWidth="1"/>
    <col min="14" max="14" width="19.140625" customWidth="1"/>
    <col min="16" max="16" width="9.28515625" customWidth="1"/>
    <col min="17" max="17" width="33.140625" bestFit="1" customWidth="1"/>
    <col min="18" max="18" width="37.140625" bestFit="1" customWidth="1"/>
  </cols>
  <sheetData>
    <row r="1" spans="1:18" ht="30" x14ac:dyDescent="0.25">
      <c r="A1" s="9" t="s">
        <v>0</v>
      </c>
      <c r="B1" s="10" t="s">
        <v>1</v>
      </c>
      <c r="C1" s="9" t="s">
        <v>5</v>
      </c>
      <c r="D1" s="9" t="s">
        <v>2</v>
      </c>
      <c r="E1" s="9" t="s">
        <v>3</v>
      </c>
      <c r="F1" s="9" t="s">
        <v>22</v>
      </c>
      <c r="G1" s="11" t="s">
        <v>6</v>
      </c>
      <c r="H1" s="11" t="s">
        <v>7</v>
      </c>
      <c r="I1" s="9" t="s">
        <v>19</v>
      </c>
      <c r="J1" s="9" t="s">
        <v>8</v>
      </c>
      <c r="K1" s="15" t="s">
        <v>21</v>
      </c>
      <c r="L1" s="15" t="s">
        <v>20</v>
      </c>
      <c r="M1" s="12" t="s">
        <v>10</v>
      </c>
      <c r="N1" s="12" t="s">
        <v>4</v>
      </c>
    </row>
    <row r="2" spans="1:18" ht="20.100000000000001" customHeight="1" x14ac:dyDescent="0.25">
      <c r="A2" s="16">
        <v>1</v>
      </c>
      <c r="B2" s="20">
        <v>45020</v>
      </c>
      <c r="C2" s="35">
        <v>1538</v>
      </c>
      <c r="D2" s="29" t="s">
        <v>23</v>
      </c>
      <c r="E2" s="30" t="s">
        <v>24</v>
      </c>
      <c r="F2" s="13">
        <v>0</v>
      </c>
      <c r="G2" s="13">
        <v>0</v>
      </c>
      <c r="H2" s="13">
        <v>0</v>
      </c>
      <c r="I2" s="13">
        <v>0</v>
      </c>
      <c r="J2" s="13">
        <v>0</v>
      </c>
      <c r="K2" s="13"/>
      <c r="L2" s="13">
        <f>SUM(G2:H2)</f>
        <v>0</v>
      </c>
      <c r="M2" s="14">
        <f>IF(K2=0,ROUND(IF(R$3-L2*R$4-J2*R$4-I2*R$4&lt;0,0,R$3-L2*R$4-IF(L2=0,0,R$5)-J2*R$4-I2*R$4),0),K2*R$4-IF(L2=0,0,R$5)-L2*R$4)</f>
        <v>700</v>
      </c>
      <c r="N2" s="17"/>
      <c r="O2" s="1"/>
      <c r="P2" s="1"/>
      <c r="Q2" s="3" t="s">
        <v>9</v>
      </c>
      <c r="R2" s="4">
        <v>30</v>
      </c>
    </row>
    <row r="3" spans="1:18" ht="20.100000000000001" customHeight="1" x14ac:dyDescent="0.25">
      <c r="A3" s="16">
        <v>2</v>
      </c>
      <c r="B3" s="31">
        <v>45090</v>
      </c>
      <c r="C3" s="35">
        <v>1628</v>
      </c>
      <c r="D3" s="32" t="s">
        <v>25</v>
      </c>
      <c r="E3" s="30" t="s">
        <v>26</v>
      </c>
      <c r="F3" s="13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f>SUM(G3:J3)</f>
        <v>0</v>
      </c>
      <c r="M3" s="14">
        <f>IF(K3=0,ROUND(IF(R$3-L3*R$4-J3*R$4-I3*R$4&lt;0,0,R$3-L3*R$4-IF(L3=0,0,R$5)-J3*R$4-I3*R$4),0),K3*R$4-IF(L3=0,0,R$5)-L3*R$4)</f>
        <v>700</v>
      </c>
      <c r="N3" s="17"/>
      <c r="O3" s="1"/>
      <c r="P3" s="1"/>
      <c r="Q3" s="5" t="s">
        <v>11</v>
      </c>
      <c r="R3" s="6">
        <v>700</v>
      </c>
    </row>
    <row r="4" spans="1:18" ht="20.100000000000001" customHeight="1" x14ac:dyDescent="0.25">
      <c r="A4" s="16">
        <v>3</v>
      </c>
      <c r="B4" s="20">
        <v>45226</v>
      </c>
      <c r="C4" s="35">
        <v>1737</v>
      </c>
      <c r="D4" s="29" t="s">
        <v>27</v>
      </c>
      <c r="E4" s="30" t="s">
        <v>28</v>
      </c>
      <c r="F4" s="13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f t="shared" ref="L4:L5" si="0">SUM(G4:H4)</f>
        <v>0</v>
      </c>
      <c r="M4" s="14">
        <f>IF(K4=0,ROUND(IF(R$3-L4*R$4-J4*R$4-I4*R$4&lt;0,0,R$3-L4*R$4-IF(L4=0,0,R$5)-J4*R$4-I4*R$4),0),K4*R$4-IF(L4=0,0,R$5)-L4*R$4)</f>
        <v>700</v>
      </c>
      <c r="N4" s="18"/>
      <c r="O4" s="1"/>
      <c r="P4" s="1"/>
      <c r="Q4" s="5" t="s">
        <v>12</v>
      </c>
      <c r="R4" s="6">
        <v>23.33</v>
      </c>
    </row>
    <row r="5" spans="1:18" ht="20.100000000000001" customHeight="1" x14ac:dyDescent="0.25">
      <c r="A5" s="16">
        <v>4</v>
      </c>
      <c r="B5" s="22">
        <v>45548</v>
      </c>
      <c r="C5" s="33">
        <v>1937</v>
      </c>
      <c r="D5" s="21" t="s">
        <v>29</v>
      </c>
      <c r="E5" s="34" t="s">
        <v>30</v>
      </c>
      <c r="F5" s="13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f t="shared" si="0"/>
        <v>0</v>
      </c>
      <c r="M5" s="14">
        <f>IF(K5=0,ROUND(IF(R$3-L5*R$4-J5*R$4-I5*R$4&lt;0,0,R$3-L5*R$4-IF(L5=0,0,R$5)-J5*R$4-I5*R$4),0),K5*R$4-IF(L5=0,0,R$5)-L5*R$4)</f>
        <v>700</v>
      </c>
      <c r="N5" s="18"/>
      <c r="O5" s="1"/>
      <c r="P5" s="1"/>
      <c r="Q5" s="5" t="s">
        <v>13</v>
      </c>
      <c r="R5" s="6">
        <v>55</v>
      </c>
    </row>
    <row r="6" spans="1:18" ht="20.100000000000001" customHeight="1" x14ac:dyDescent="0.25">
      <c r="A6" s="19"/>
      <c r="B6" s="23"/>
      <c r="C6" s="19"/>
      <c r="D6" s="28" t="s">
        <v>14</v>
      </c>
      <c r="E6" s="24"/>
      <c r="F6" s="24"/>
      <c r="L6" s="25"/>
      <c r="M6" s="26">
        <f>SUM(M2:M5)</f>
        <v>2800</v>
      </c>
      <c r="O6" s="1"/>
      <c r="P6" s="1"/>
      <c r="Q6" s="2" t="s">
        <v>15</v>
      </c>
      <c r="R6" s="7" t="s">
        <v>16</v>
      </c>
    </row>
    <row r="7" spans="1:18" ht="28.5" x14ac:dyDescent="0.25">
      <c r="C7" s="27"/>
      <c r="Q7" s="2" t="s">
        <v>17</v>
      </c>
      <c r="R7" s="8" t="s">
        <v>18</v>
      </c>
    </row>
  </sheetData>
  <sheetProtection sheet="1" objects="1" scenarios="1"/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9" r:id="rId4" name="CommandButton1">
          <controlPr defaultSize="0" autoLine="0" autoPict="0" r:id="rId5">
            <anchor moveWithCells="1">
              <from>
                <xdr:col>16</xdr:col>
                <xdr:colOff>514350</xdr:colOff>
                <xdr:row>8</xdr:row>
                <xdr:rowOff>0</xdr:rowOff>
              </from>
              <to>
                <xdr:col>16</xdr:col>
                <xdr:colOff>2133600</xdr:colOff>
                <xdr:row>12</xdr:row>
                <xdr:rowOff>95250</xdr:rowOff>
              </to>
            </anchor>
          </controlPr>
        </control>
      </mc:Choice>
      <mc:Fallback>
        <control shapeId="6149" r:id="rId4" name="CommandButton1"/>
      </mc:Fallback>
    </mc:AlternateContent>
    <mc:AlternateContent xmlns:mc="http://schemas.openxmlformats.org/markup-compatibility/2006">
      <mc:Choice Requires="x14">
        <control shapeId="6157" r:id="rId6" name="CommandButton3">
          <controlPr defaultSize="0" autoLine="0" autoPict="0" r:id="rId7">
            <anchor moveWithCells="1">
              <from>
                <xdr:col>13</xdr:col>
                <xdr:colOff>1276350</xdr:colOff>
                <xdr:row>8</xdr:row>
                <xdr:rowOff>9525</xdr:rowOff>
              </from>
              <to>
                <xdr:col>16</xdr:col>
                <xdr:colOff>381000</xdr:colOff>
                <xdr:row>12</xdr:row>
                <xdr:rowOff>104775</xdr:rowOff>
              </to>
            </anchor>
          </controlPr>
        </control>
      </mc:Choice>
      <mc:Fallback>
        <control shapeId="6157" r:id="rId6" name="CommandButton3"/>
      </mc:Fallback>
    </mc:AlternateContent>
    <mc:AlternateContent xmlns:mc="http://schemas.openxmlformats.org/markup-compatibility/2006">
      <mc:Choice Requires="x14">
        <control shapeId="6158" r:id="rId8" name="CommandButton2">
          <controlPr defaultSize="0" autoLine="0" r:id="rId9">
            <anchor moveWithCells="1">
              <from>
                <xdr:col>17</xdr:col>
                <xdr:colOff>38100</xdr:colOff>
                <xdr:row>7</xdr:row>
                <xdr:rowOff>161925</xdr:rowOff>
              </from>
              <to>
                <xdr:col>17</xdr:col>
                <xdr:colOff>1628775</xdr:colOff>
                <xdr:row>12</xdr:row>
                <xdr:rowOff>104775</xdr:rowOff>
              </to>
            </anchor>
          </controlPr>
        </control>
      </mc:Choice>
      <mc:Fallback>
        <control shapeId="6158" r:id="rId8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CONTROLE_BENEFÍCIOS</vt:lpstr>
      <vt:lpstr>NOMEFUNC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 Faturamento</dc:creator>
  <cp:lastModifiedBy>Wagner</cp:lastModifiedBy>
  <cp:lastPrinted>2024-08-23T12:39:04Z</cp:lastPrinted>
  <dcterms:created xsi:type="dcterms:W3CDTF">2024-08-21T12:16:18Z</dcterms:created>
  <dcterms:modified xsi:type="dcterms:W3CDTF">2024-10-11T13:05:18Z</dcterms:modified>
</cp:coreProperties>
</file>