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ndriani\Desktop\"/>
    </mc:Choice>
  </mc:AlternateContent>
  <xr:revisionPtr revIDLastSave="0" documentId="13_ncr:1_{4202B53F-A980-4ACE-A988-7572F876A10D}" xr6:coauthVersionLast="47" xr6:coauthVersionMax="47" xr10:uidLastSave="{00000000-0000-0000-0000-000000000000}"/>
  <bookViews>
    <workbookView xWindow="-120" yWindow="-120" windowWidth="29040" windowHeight="15840" xr2:uid="{01D0B210-AF09-4BD4-8578-ECDF2F36E9C3}"/>
  </bookViews>
  <sheets>
    <sheet name="CONTROLE_BENEFÍCIOS" sheetId="6" r:id="rId1"/>
  </sheets>
  <definedNames>
    <definedName name="NOMEFUNC">CONTROLE_BENEFÍCIOS!$E$2:$E$67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6" i="6" l="1"/>
  <c r="M66" i="6" s="1"/>
  <c r="L65" i="6"/>
  <c r="M65" i="6" s="1"/>
  <c r="L3" i="6" l="1"/>
  <c r="M3" i="6" s="1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2" i="6"/>
  <c r="M12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2" i="6"/>
  <c r="M22" i="6" s="1"/>
  <c r="L23" i="6"/>
  <c r="M23" i="6" s="1"/>
  <c r="L24" i="6"/>
  <c r="M24" i="6" s="1"/>
  <c r="L25" i="6"/>
  <c r="M25" i="6" s="1"/>
  <c r="L26" i="6"/>
  <c r="M26" i="6" s="1"/>
  <c r="L27" i="6"/>
  <c r="M27" i="6" s="1"/>
  <c r="L28" i="6"/>
  <c r="M28" i="6" s="1"/>
  <c r="L29" i="6"/>
  <c r="M29" i="6" s="1"/>
  <c r="L30" i="6"/>
  <c r="M30" i="6" s="1"/>
  <c r="L31" i="6"/>
  <c r="M31" i="6" s="1"/>
  <c r="L32" i="6"/>
  <c r="M32" i="6" s="1"/>
  <c r="L33" i="6"/>
  <c r="M33" i="6" s="1"/>
  <c r="L34" i="6"/>
  <c r="M34" i="6" s="1"/>
  <c r="L35" i="6"/>
  <c r="M35" i="6" s="1"/>
  <c r="L36" i="6"/>
  <c r="M36" i="6" s="1"/>
  <c r="L37" i="6"/>
  <c r="M37" i="6" s="1"/>
  <c r="L38" i="6"/>
  <c r="M38" i="6" s="1"/>
  <c r="L39" i="6"/>
  <c r="M39" i="6" s="1"/>
  <c r="L40" i="6"/>
  <c r="M40" i="6" s="1"/>
  <c r="L41" i="6"/>
  <c r="M41" i="6" s="1"/>
  <c r="L42" i="6"/>
  <c r="M42" i="6" s="1"/>
  <c r="L43" i="6"/>
  <c r="M43" i="6" s="1"/>
  <c r="L44" i="6"/>
  <c r="M44" i="6" s="1"/>
  <c r="L45" i="6"/>
  <c r="M45" i="6" s="1"/>
  <c r="L46" i="6"/>
  <c r="M46" i="6" s="1"/>
  <c r="L47" i="6"/>
  <c r="M47" i="6" s="1"/>
  <c r="L48" i="6"/>
  <c r="M48" i="6" s="1"/>
  <c r="L49" i="6"/>
  <c r="M49" i="6" s="1"/>
  <c r="L50" i="6"/>
  <c r="M50" i="6" s="1"/>
  <c r="L51" i="6"/>
  <c r="M51" i="6" s="1"/>
  <c r="L52" i="6"/>
  <c r="M52" i="6" s="1"/>
  <c r="L53" i="6"/>
  <c r="M53" i="6" s="1"/>
  <c r="L54" i="6"/>
  <c r="M54" i="6" s="1"/>
  <c r="L55" i="6"/>
  <c r="M55" i="6" s="1"/>
  <c r="L56" i="6"/>
  <c r="M56" i="6" s="1"/>
  <c r="L57" i="6"/>
  <c r="M57" i="6" s="1"/>
  <c r="L58" i="6"/>
  <c r="M58" i="6" s="1"/>
  <c r="L59" i="6"/>
  <c r="M59" i="6" s="1"/>
  <c r="L60" i="6"/>
  <c r="M60" i="6" s="1"/>
  <c r="L61" i="6"/>
  <c r="M61" i="6" s="1"/>
  <c r="L62" i="6"/>
  <c r="M62" i="6" s="1"/>
  <c r="L63" i="6"/>
  <c r="M63" i="6" s="1"/>
  <c r="L64" i="6"/>
  <c r="M64" i="6" s="1"/>
  <c r="L67" i="6"/>
  <c r="M67" i="6" s="1"/>
  <c r="L2" i="6"/>
  <c r="M2" i="6" s="1"/>
  <c r="M68" i="6" l="1"/>
</calcChain>
</file>

<file path=xl/sharedStrings.xml><?xml version="1.0" encoding="utf-8"?>
<sst xmlns="http://schemas.openxmlformats.org/spreadsheetml/2006/main" count="94" uniqueCount="91">
  <si>
    <t>Nº</t>
  </si>
  <si>
    <t xml:space="preserve">ADMISSÃO </t>
  </si>
  <si>
    <t>CPF</t>
  </si>
  <si>
    <t>NOME FUNCIONÁRIO</t>
  </si>
  <si>
    <t xml:space="preserve">OBSERVAÇÕES </t>
  </si>
  <si>
    <t>MATRÍCULA</t>
  </si>
  <si>
    <t xml:space="preserve">FALTA S/ JUSTIFICATIVA </t>
  </si>
  <si>
    <t>ATESTADO MÉDICO</t>
  </si>
  <si>
    <t>FÉRIAS</t>
  </si>
  <si>
    <t>Dias Corridos:</t>
  </si>
  <si>
    <t>VR</t>
  </si>
  <si>
    <t>Valor Base VR:</t>
  </si>
  <si>
    <t>Desconto Dia VR:</t>
  </si>
  <si>
    <t>Desc. Assiduidade:</t>
  </si>
  <si>
    <t>Período de Contabilização:</t>
  </si>
  <si>
    <t>25/08 à 25/09</t>
  </si>
  <si>
    <t>Dias a se Contabilizar:</t>
  </si>
  <si>
    <t>Segunda à Sábado (alternado)</t>
  </si>
  <si>
    <t>AFASTAMENTO INSS</t>
  </si>
  <si>
    <t>DESC. ASSIDUIDADE</t>
  </si>
  <si>
    <t>DIAS TRABALHADOS</t>
  </si>
  <si>
    <t>DSR</t>
  </si>
  <si>
    <t>03/01/2022</t>
  </si>
  <si>
    <t>19/04/2022</t>
  </si>
  <si>
    <t xml:space="preserve">FÉRIAS </t>
  </si>
  <si>
    <t>teste 1</t>
  </si>
  <si>
    <t>teste 2</t>
  </si>
  <si>
    <t>teste 3</t>
  </si>
  <si>
    <t>teste 4</t>
  </si>
  <si>
    <t>teste 5</t>
  </si>
  <si>
    <t>teste 6</t>
  </si>
  <si>
    <t>teste 7</t>
  </si>
  <si>
    <t>teste 8</t>
  </si>
  <si>
    <t>teste 9</t>
  </si>
  <si>
    <t>teste 10</t>
  </si>
  <si>
    <t>teste 11</t>
  </si>
  <si>
    <t>teste 12</t>
  </si>
  <si>
    <t>teste 13</t>
  </si>
  <si>
    <t>teste 14</t>
  </si>
  <si>
    <t>teste 15</t>
  </si>
  <si>
    <t>teste 16</t>
  </si>
  <si>
    <t>teste 17</t>
  </si>
  <si>
    <t>teste 18</t>
  </si>
  <si>
    <t>teste 19</t>
  </si>
  <si>
    <t>teste 20</t>
  </si>
  <si>
    <t>teste 21</t>
  </si>
  <si>
    <t>teste 22</t>
  </si>
  <si>
    <t>teste 23</t>
  </si>
  <si>
    <t>teste 24</t>
  </si>
  <si>
    <t>teste 25</t>
  </si>
  <si>
    <t>teste 26</t>
  </si>
  <si>
    <t>teste 27</t>
  </si>
  <si>
    <t>teste 28</t>
  </si>
  <si>
    <t>teste 29</t>
  </si>
  <si>
    <t>teste 30</t>
  </si>
  <si>
    <t>teste 31</t>
  </si>
  <si>
    <t>teste 32</t>
  </si>
  <si>
    <t>teste 33</t>
  </si>
  <si>
    <t>teste 34</t>
  </si>
  <si>
    <t>teste 35</t>
  </si>
  <si>
    <t>teste 36</t>
  </si>
  <si>
    <t>teste 37</t>
  </si>
  <si>
    <t>teste 38</t>
  </si>
  <si>
    <t>teste 39</t>
  </si>
  <si>
    <t>teste 40</t>
  </si>
  <si>
    <t>teste 41</t>
  </si>
  <si>
    <t>teste 42</t>
  </si>
  <si>
    <t>teste 43</t>
  </si>
  <si>
    <t>teste 44</t>
  </si>
  <si>
    <t>teste 45</t>
  </si>
  <si>
    <t>teste 46</t>
  </si>
  <si>
    <t>teste 47</t>
  </si>
  <si>
    <t>teste 48</t>
  </si>
  <si>
    <t>teste 49</t>
  </si>
  <si>
    <t>teste 50</t>
  </si>
  <si>
    <t>teste 51</t>
  </si>
  <si>
    <t>teste 52</t>
  </si>
  <si>
    <t>teste 53</t>
  </si>
  <si>
    <t>teste 54</t>
  </si>
  <si>
    <t>teste 55</t>
  </si>
  <si>
    <t>teste 56</t>
  </si>
  <si>
    <t>teste 57</t>
  </si>
  <si>
    <t>teste 58</t>
  </si>
  <si>
    <t>teste 59</t>
  </si>
  <si>
    <t>teste 60</t>
  </si>
  <si>
    <t>teste 61</t>
  </si>
  <si>
    <t>teste 62</t>
  </si>
  <si>
    <t>teste 63</t>
  </si>
  <si>
    <t>teste 64</t>
  </si>
  <si>
    <t>teste 65</t>
  </si>
  <si>
    <t>teste 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</si>
</sst>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22"/>
      <color theme="1"/>
      <name val="Bodoni MT Condensed"/>
      <family val="1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name val="Book Antiqua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right"/>
    </xf>
    <xf numFmtId="0" fontId="0" fillId="0" borderId="0" xfId="0" applyProtection="1">
      <protection locked="0"/>
    </xf>
    <xf numFmtId="0" fontId="2" fillId="2" borderId="1" xfId="0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vertical="center"/>
      <protection locked="0"/>
    </xf>
    <xf numFmtId="0" fontId="2" fillId="2" borderId="2" xfId="0" applyFont="1" applyFill="1" applyBorder="1" applyAlignment="1" applyProtection="1">
      <alignment vertical="center"/>
      <protection locked="0"/>
    </xf>
    <xf numFmtId="44" fontId="2" fillId="2" borderId="6" xfId="1" applyFont="1" applyFill="1" applyBorder="1" applyAlignment="1" applyProtection="1">
      <alignment vertical="center"/>
      <protection locked="0"/>
    </xf>
    <xf numFmtId="0" fontId="2" fillId="2" borderId="5" xfId="0" applyFont="1" applyFill="1" applyBorder="1" applyAlignment="1" applyProtection="1">
      <alignment horizontal="right" vertical="center"/>
      <protection locked="0"/>
    </xf>
    <xf numFmtId="0" fontId="2" fillId="2" borderId="5" xfId="0" applyFont="1" applyFill="1" applyBorder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6" fillId="3" borderId="1" xfId="0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/>
    <xf numFmtId="0" fontId="5" fillId="2" borderId="0" xfId="0" applyFont="1" applyFill="1" applyAlignment="1">
      <alignment horizontal="center" vertical="center"/>
    </xf>
    <xf numFmtId="44" fontId="5" fillId="2" borderId="0" xfId="0" applyNumberFormat="1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4" fontId="5" fillId="0" borderId="1" xfId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0" fillId="0" borderId="1" xfId="0" applyBorder="1"/>
    <xf numFmtId="0" fontId="6" fillId="3" borderId="4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4" fontId="7" fillId="0" borderId="4" xfId="0" applyNumberFormat="1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/>
      <protection locked="0"/>
    </xf>
    <xf numFmtId="14" fontId="7" fillId="0" borderId="1" xfId="0" applyNumberFormat="1" applyFont="1" applyBorder="1" applyAlignment="1" applyProtection="1">
      <alignment horizont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4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0" fillId="4" borderId="1" xfId="0" applyFill="1" applyBorder="1"/>
    <xf numFmtId="14" fontId="7" fillId="0" borderId="2" xfId="0" applyNumberFormat="1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4" borderId="2" xfId="0" applyFont="1" applyFill="1" applyBorder="1" applyProtection="1">
      <protection locked="0"/>
    </xf>
    <xf numFmtId="0" fontId="7" fillId="4" borderId="1" xfId="0" applyFont="1" applyFill="1" applyBorder="1" applyAlignment="1" applyProtection="1">
      <alignment horizontal="left"/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00FF00"/>
      <color rgb="FF49876E"/>
      <color rgb="FF6BC25C"/>
      <color rgb="FFCCECFF"/>
      <color rgb="FFFF0066"/>
      <color rgb="FF5D62C1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1847850</xdr:colOff>
          <xdr:row>8</xdr:row>
          <xdr:rowOff>38100</xdr:rowOff>
        </xdr:from>
        <xdr:to>
          <xdr:col>17</xdr:col>
          <xdr:colOff>1266825</xdr:colOff>
          <xdr:row>11</xdr:row>
          <xdr:rowOff>57150</xdr:rowOff>
        </xdr:to>
        <xdr:sp macro="" textlink="">
          <xdr:nvSpPr>
            <xdr:cNvPr id="6149" name="CommandButton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0</xdr:row>
      <xdr:rowOff>28575</xdr:rowOff>
    </xdr:from>
    <xdr:to>
      <xdr:col>18</xdr:col>
      <xdr:colOff>9525</xdr:colOff>
      <xdr:row>0</xdr:row>
      <xdr:rowOff>361950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90014B3-E1FA-A14C-0EC2-CE49C637FF55}"/>
            </a:ext>
          </a:extLst>
        </xdr:cNvPr>
        <xdr:cNvSpPr txBox="1"/>
      </xdr:nvSpPr>
      <xdr:spPr>
        <a:xfrm>
          <a:off x="21802725" y="28575"/>
          <a:ext cx="4695825" cy="33337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/>
            <a:t>Checklist Benefícios</a:t>
          </a:r>
        </a:p>
      </xdr:txBody>
    </xdr:sp>
    <xdr:clientData/>
  </xdr:twoCellAnchor>
  <xdr:twoCellAnchor editAs="oneCell">
    <xdr:from>
      <xdr:col>16</xdr:col>
      <xdr:colOff>66675</xdr:colOff>
      <xdr:row>0</xdr:row>
      <xdr:rowOff>95250</xdr:rowOff>
    </xdr:from>
    <xdr:to>
      <xdr:col>16</xdr:col>
      <xdr:colOff>942975</xdr:colOff>
      <xdr:row>1</xdr:row>
      <xdr:rowOff>20411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1F2C3E8-BF16-C316-3425-1BC0970EB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69400" y="95250"/>
          <a:ext cx="876300" cy="238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8</xdr:row>
          <xdr:rowOff>38100</xdr:rowOff>
        </xdr:from>
        <xdr:to>
          <xdr:col>16</xdr:col>
          <xdr:colOff>1552575</xdr:colOff>
          <xdr:row>11</xdr:row>
          <xdr:rowOff>57150</xdr:rowOff>
        </xdr:to>
        <xdr:sp macro="" textlink="">
          <xdr:nvSpPr>
            <xdr:cNvPr id="6157" name="CommandButton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1838325</xdr:colOff>
          <xdr:row>14</xdr:row>
          <xdr:rowOff>123825</xdr:rowOff>
        </xdr:from>
        <xdr:to>
          <xdr:col>17</xdr:col>
          <xdr:colOff>1295400</xdr:colOff>
          <xdr:row>17</xdr:row>
          <xdr:rowOff>95250</xdr:rowOff>
        </xdr:to>
        <xdr:sp macro="" textlink="">
          <xdr:nvSpPr>
            <xdr:cNvPr id="6158" name="CommandButton2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62B49-FB5A-4A05-B84B-39FCC3C5011C}">
  <sheetPr codeName="Planilha1"/>
  <dimension ref="A1:R69"/>
  <sheetViews>
    <sheetView tabSelected="1" zoomScale="70" zoomScaleNormal="70" workbookViewId="0">
      <pane ySplit="1" topLeftCell="A2" activePane="bottomLeft" state="frozen"/>
      <selection pane="bottomLeft" activeCell="J31" sqref="J31"/>
    </sheetView>
  </sheetViews>
  <sheetFormatPr defaultRowHeight="15" x14ac:dyDescent="0.25"/>
  <cols>
    <col min="1" max="1" width="4" customWidth="1"/>
    <col min="2" max="2" width="14.28515625" bestFit="1" customWidth="1"/>
    <col min="3" max="3" width="15" customWidth="1"/>
    <col min="4" max="4" width="14" customWidth="1"/>
    <col min="5" max="5" width="36.85546875" customWidth="1"/>
    <col min="6" max="6" width="6.42578125" customWidth="1"/>
    <col min="7" max="7" width="18.5703125" bestFit="1" customWidth="1"/>
    <col min="8" max="8" width="20.7109375" customWidth="1"/>
    <col min="9" max="9" width="25.28515625" bestFit="1" customWidth="1"/>
    <col min="10" max="10" width="9.5703125" customWidth="1"/>
    <col min="11" max="11" width="25.28515625" bestFit="1" customWidth="1"/>
    <col min="12" max="12" width="24.5703125" customWidth="1"/>
    <col min="13" max="13" width="19.7109375" bestFit="1" customWidth="1"/>
    <col min="14" max="14" width="19.140625" customWidth="1"/>
    <col min="16" max="16" width="9.28515625" customWidth="1"/>
    <col min="17" max="17" width="33.140625" bestFit="1" customWidth="1"/>
    <col min="18" max="18" width="37.140625" bestFit="1" customWidth="1"/>
  </cols>
  <sheetData>
    <row r="1" spans="1:18" ht="24.95" customHeight="1" x14ac:dyDescent="0.25">
      <c r="A1" s="11" t="s">
        <v>0</v>
      </c>
      <c r="B1" s="12" t="s">
        <v>1</v>
      </c>
      <c r="C1" s="11" t="s">
        <v>5</v>
      </c>
      <c r="D1" s="11" t="s">
        <v>2</v>
      </c>
      <c r="E1" s="11" t="s">
        <v>3</v>
      </c>
      <c r="F1" s="11" t="s">
        <v>21</v>
      </c>
      <c r="G1" s="13" t="s">
        <v>6</v>
      </c>
      <c r="H1" s="13" t="s">
        <v>7</v>
      </c>
      <c r="I1" s="11" t="s">
        <v>18</v>
      </c>
      <c r="J1" s="11" t="s">
        <v>8</v>
      </c>
      <c r="K1" s="23" t="s">
        <v>20</v>
      </c>
      <c r="L1" s="23" t="s">
        <v>19</v>
      </c>
      <c r="M1" s="14" t="s">
        <v>10</v>
      </c>
      <c r="N1" s="14" t="s">
        <v>4</v>
      </c>
    </row>
    <row r="2" spans="1:18" ht="24.95" customHeight="1" x14ac:dyDescent="0.25">
      <c r="A2" s="24">
        <v>1</v>
      </c>
      <c r="B2" s="37" t="s">
        <v>22</v>
      </c>
      <c r="C2" s="38">
        <v>1234</v>
      </c>
      <c r="D2" s="39">
        <v>12345678911</v>
      </c>
      <c r="E2" s="40" t="s">
        <v>25</v>
      </c>
      <c r="F2" s="19">
        <v>0</v>
      </c>
      <c r="G2" s="19">
        <v>0</v>
      </c>
      <c r="H2" s="19">
        <v>0</v>
      </c>
      <c r="I2" s="19">
        <v>0</v>
      </c>
      <c r="J2" s="19">
        <v>0</v>
      </c>
      <c r="K2" s="19">
        <v>0</v>
      </c>
      <c r="L2" s="19">
        <f>SUM(G2:H2)</f>
        <v>0</v>
      </c>
      <c r="M2" s="20">
        <f t="shared" ref="M2:M33" si="0">IF(K2=0,ROUND(IF(R$3-L2*R$4-J2*R$4-I2*R$4&lt;0,0,R$3-L2*R$4-IF(L2=0,0,R$5)-J2*R$4-I2*R$4),0),K2*R4-IF(L2=0,0,R5)-L2*R4)</f>
        <v>700</v>
      </c>
      <c r="N2" s="21"/>
      <c r="O2" s="2"/>
      <c r="P2" s="2"/>
      <c r="Q2" s="4" t="s">
        <v>9</v>
      </c>
      <c r="R2" s="5">
        <v>30</v>
      </c>
    </row>
    <row r="3" spans="1:18" ht="24.95" customHeight="1" x14ac:dyDescent="0.25">
      <c r="A3" s="24">
        <v>2</v>
      </c>
      <c r="B3" s="29" t="s">
        <v>23</v>
      </c>
      <c r="C3" s="28">
        <v>1235</v>
      </c>
      <c r="D3" s="26">
        <v>12345678912</v>
      </c>
      <c r="E3" s="41" t="s">
        <v>26</v>
      </c>
      <c r="F3" s="19">
        <v>0</v>
      </c>
      <c r="G3" s="19">
        <v>0</v>
      </c>
      <c r="H3" s="19">
        <v>0</v>
      </c>
      <c r="I3" s="19">
        <v>0</v>
      </c>
      <c r="J3" s="19">
        <v>0</v>
      </c>
      <c r="K3" s="19">
        <v>0</v>
      </c>
      <c r="L3" s="19">
        <f>SUM(G3:J3)</f>
        <v>0</v>
      </c>
      <c r="M3" s="20">
        <f t="shared" si="0"/>
        <v>700</v>
      </c>
      <c r="N3" s="21"/>
      <c r="O3" s="2"/>
      <c r="P3" s="2"/>
      <c r="Q3" s="6" t="s">
        <v>11</v>
      </c>
      <c r="R3" s="7">
        <v>700</v>
      </c>
    </row>
    <row r="4" spans="1:18" ht="24.95" customHeight="1" x14ac:dyDescent="0.25">
      <c r="A4" s="24">
        <v>3</v>
      </c>
      <c r="B4" s="25">
        <v>44327</v>
      </c>
      <c r="C4" s="38">
        <v>1236</v>
      </c>
      <c r="D4" s="39">
        <v>12345678913</v>
      </c>
      <c r="E4" s="40" t="s">
        <v>27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0</v>
      </c>
      <c r="L4" s="19">
        <f t="shared" ref="L4:L35" si="1">SUM(G4:H4)</f>
        <v>0</v>
      </c>
      <c r="M4" s="20">
        <f t="shared" si="0"/>
        <v>700</v>
      </c>
      <c r="N4" s="22"/>
      <c r="O4" s="2"/>
      <c r="P4" s="2"/>
      <c r="Q4" s="6" t="s">
        <v>12</v>
      </c>
      <c r="R4" s="7">
        <v>23.33</v>
      </c>
    </row>
    <row r="5" spans="1:18" ht="24.95" customHeight="1" x14ac:dyDescent="0.25">
      <c r="A5" s="24">
        <v>4</v>
      </c>
      <c r="B5" s="27">
        <v>45365</v>
      </c>
      <c r="C5" s="28">
        <v>1237</v>
      </c>
      <c r="D5" s="26">
        <v>12345678914</v>
      </c>
      <c r="E5" s="41" t="s">
        <v>28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0</v>
      </c>
      <c r="L5" s="19">
        <f t="shared" si="1"/>
        <v>0</v>
      </c>
      <c r="M5" s="20">
        <f t="shared" si="0"/>
        <v>700</v>
      </c>
      <c r="N5" s="22"/>
      <c r="O5" s="2"/>
      <c r="P5" s="2"/>
      <c r="Q5" s="6" t="s">
        <v>13</v>
      </c>
      <c r="R5" s="7">
        <v>55</v>
      </c>
    </row>
    <row r="6" spans="1:18" ht="24.95" customHeight="1" x14ac:dyDescent="0.25">
      <c r="A6" s="24">
        <v>5</v>
      </c>
      <c r="B6" s="30">
        <v>44670</v>
      </c>
      <c r="C6" s="38">
        <v>1238</v>
      </c>
      <c r="D6" s="39">
        <v>12345678915</v>
      </c>
      <c r="E6" s="40" t="s">
        <v>29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>
        <f t="shared" si="1"/>
        <v>0</v>
      </c>
      <c r="M6" s="20">
        <f t="shared" si="0"/>
        <v>700</v>
      </c>
      <c r="N6" s="22"/>
      <c r="O6" s="2"/>
      <c r="P6" s="2"/>
      <c r="Q6" s="3" t="s">
        <v>14</v>
      </c>
      <c r="R6" s="8" t="s">
        <v>15</v>
      </c>
    </row>
    <row r="7" spans="1:18" ht="24.95" customHeight="1" x14ac:dyDescent="0.25">
      <c r="A7" s="24">
        <v>6</v>
      </c>
      <c r="B7" s="25">
        <v>45343</v>
      </c>
      <c r="C7" s="28">
        <v>1239</v>
      </c>
      <c r="D7" s="26">
        <v>12345678916</v>
      </c>
      <c r="E7" s="41" t="s">
        <v>30</v>
      </c>
      <c r="F7" s="19">
        <v>0</v>
      </c>
      <c r="G7" s="19">
        <v>0</v>
      </c>
      <c r="H7" s="19">
        <v>0</v>
      </c>
      <c r="I7" s="19">
        <v>0</v>
      </c>
      <c r="J7" s="19">
        <v>0</v>
      </c>
      <c r="K7" s="19">
        <v>0</v>
      </c>
      <c r="L7" s="19">
        <f t="shared" si="1"/>
        <v>0</v>
      </c>
      <c r="M7" s="20">
        <f t="shared" si="0"/>
        <v>700</v>
      </c>
      <c r="N7" s="22"/>
      <c r="O7" s="2"/>
      <c r="P7" s="2"/>
      <c r="Q7" s="3" t="s">
        <v>16</v>
      </c>
      <c r="R7" s="9" t="s">
        <v>17</v>
      </c>
    </row>
    <row r="8" spans="1:18" ht="24.95" customHeight="1" x14ac:dyDescent="0.25">
      <c r="A8" s="24">
        <v>7</v>
      </c>
      <c r="B8" s="25">
        <v>45259</v>
      </c>
      <c r="C8" s="38">
        <v>1240</v>
      </c>
      <c r="D8" s="39">
        <v>12345678917</v>
      </c>
      <c r="E8" s="40" t="s">
        <v>31</v>
      </c>
      <c r="F8" s="19">
        <v>0</v>
      </c>
      <c r="G8" s="19">
        <v>0</v>
      </c>
      <c r="H8" s="35">
        <v>1</v>
      </c>
      <c r="I8" s="19">
        <v>0</v>
      </c>
      <c r="J8" s="19">
        <v>0</v>
      </c>
      <c r="K8" s="19">
        <v>0</v>
      </c>
      <c r="L8" s="19">
        <f t="shared" si="1"/>
        <v>1</v>
      </c>
      <c r="M8" s="20">
        <f t="shared" si="0"/>
        <v>622</v>
      </c>
      <c r="N8" s="22"/>
      <c r="O8" s="2"/>
      <c r="P8" s="2"/>
      <c r="Q8" s="2"/>
      <c r="R8" s="2"/>
    </row>
    <row r="9" spans="1:18" ht="24.95" customHeight="1" x14ac:dyDescent="0.25">
      <c r="A9" s="24">
        <v>8</v>
      </c>
      <c r="B9" s="25">
        <v>44260</v>
      </c>
      <c r="C9" s="28">
        <v>1241</v>
      </c>
      <c r="D9" s="26">
        <v>12345678918</v>
      </c>
      <c r="E9" s="41" t="s">
        <v>32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19">
        <v>0</v>
      </c>
      <c r="L9" s="19">
        <f t="shared" si="1"/>
        <v>0</v>
      </c>
      <c r="M9" s="20">
        <f t="shared" si="0"/>
        <v>700</v>
      </c>
      <c r="N9" s="22"/>
      <c r="O9" s="2"/>
      <c r="P9" s="2"/>
      <c r="Q9" s="2"/>
      <c r="R9" s="2"/>
    </row>
    <row r="10" spans="1:18" ht="24.95" customHeight="1" x14ac:dyDescent="0.25">
      <c r="A10" s="24">
        <v>9</v>
      </c>
      <c r="B10" s="25">
        <v>45149</v>
      </c>
      <c r="C10" s="38">
        <v>1242</v>
      </c>
      <c r="D10" s="39">
        <v>12345678919</v>
      </c>
      <c r="E10" s="40" t="s">
        <v>33</v>
      </c>
      <c r="F10" s="19">
        <v>0</v>
      </c>
      <c r="G10" s="19">
        <v>0</v>
      </c>
      <c r="H10" s="19">
        <v>0</v>
      </c>
      <c r="I10" s="19">
        <v>0</v>
      </c>
      <c r="J10" s="19">
        <v>6</v>
      </c>
      <c r="K10" s="19">
        <v>0</v>
      </c>
      <c r="L10" s="19">
        <f t="shared" si="1"/>
        <v>0</v>
      </c>
      <c r="M10" s="20">
        <f t="shared" si="0"/>
        <v>560</v>
      </c>
      <c r="N10" s="36" t="s">
        <v>8</v>
      </c>
      <c r="O10" s="2"/>
      <c r="P10" s="2"/>
      <c r="Q10" s="2"/>
      <c r="R10" s="2"/>
    </row>
    <row r="11" spans="1:18" ht="24.95" customHeight="1" x14ac:dyDescent="0.25">
      <c r="A11" s="24">
        <v>10</v>
      </c>
      <c r="B11" s="25">
        <v>45164</v>
      </c>
      <c r="C11" s="28">
        <v>1243</v>
      </c>
      <c r="D11" s="26">
        <v>12345678920</v>
      </c>
      <c r="E11" s="41" t="s">
        <v>34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f t="shared" si="1"/>
        <v>0</v>
      </c>
      <c r="M11" s="20">
        <f t="shared" si="0"/>
        <v>700</v>
      </c>
      <c r="N11" s="22"/>
      <c r="O11" s="2"/>
      <c r="P11" s="2"/>
      <c r="Q11" s="10"/>
      <c r="R11" s="2"/>
    </row>
    <row r="12" spans="1:18" ht="24.95" customHeight="1" x14ac:dyDescent="0.25">
      <c r="A12" s="24">
        <v>11</v>
      </c>
      <c r="B12" s="25">
        <v>45406</v>
      </c>
      <c r="C12" s="38">
        <v>1244</v>
      </c>
      <c r="D12" s="39">
        <v>12345678921</v>
      </c>
      <c r="E12" s="40" t="s">
        <v>35</v>
      </c>
      <c r="F12" s="19">
        <v>0</v>
      </c>
      <c r="G12" s="35">
        <v>1</v>
      </c>
      <c r="H12" s="19">
        <v>0</v>
      </c>
      <c r="I12" s="19">
        <v>0</v>
      </c>
      <c r="J12" s="19">
        <v>0</v>
      </c>
      <c r="K12" s="19">
        <v>0</v>
      </c>
      <c r="L12" s="19">
        <f t="shared" si="1"/>
        <v>1</v>
      </c>
      <c r="M12" s="20">
        <f t="shared" si="0"/>
        <v>622</v>
      </c>
      <c r="N12" s="22"/>
      <c r="O12" s="2"/>
      <c r="P12" s="2"/>
      <c r="Q12" s="2"/>
      <c r="R12" s="2"/>
    </row>
    <row r="13" spans="1:18" ht="24.95" customHeight="1" x14ac:dyDescent="0.25">
      <c r="A13" s="24">
        <v>12</v>
      </c>
      <c r="B13" s="27">
        <v>45537</v>
      </c>
      <c r="C13" s="28">
        <v>1245</v>
      </c>
      <c r="D13" s="26">
        <v>12345678922</v>
      </c>
      <c r="E13" s="41" t="s">
        <v>36</v>
      </c>
      <c r="F13" s="19"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f t="shared" si="1"/>
        <v>0</v>
      </c>
      <c r="M13" s="20">
        <f t="shared" si="0"/>
        <v>700</v>
      </c>
      <c r="N13" s="22"/>
      <c r="O13" s="2"/>
      <c r="P13" s="2"/>
      <c r="Q13" s="2"/>
      <c r="R13" s="2"/>
    </row>
    <row r="14" spans="1:18" ht="24.95" customHeight="1" x14ac:dyDescent="0.25">
      <c r="A14" s="24">
        <v>13</v>
      </c>
      <c r="B14" s="25">
        <v>45580</v>
      </c>
      <c r="C14" s="38">
        <v>1246</v>
      </c>
      <c r="D14" s="39">
        <v>12345678923</v>
      </c>
      <c r="E14" s="40" t="s">
        <v>37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>
        <f t="shared" si="1"/>
        <v>0</v>
      </c>
      <c r="M14" s="20">
        <f t="shared" si="0"/>
        <v>700</v>
      </c>
      <c r="N14" s="22"/>
      <c r="O14" s="2"/>
      <c r="P14" s="2"/>
      <c r="Q14" s="2"/>
      <c r="R14" s="2"/>
    </row>
    <row r="15" spans="1:18" ht="24.95" customHeight="1" x14ac:dyDescent="0.25">
      <c r="A15" s="24">
        <v>14</v>
      </c>
      <c r="B15" s="25">
        <v>45118</v>
      </c>
      <c r="C15" s="28">
        <v>1247</v>
      </c>
      <c r="D15" s="26">
        <v>12345678924</v>
      </c>
      <c r="E15" s="41" t="s">
        <v>38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>
        <f t="shared" si="1"/>
        <v>0</v>
      </c>
      <c r="M15" s="20">
        <f t="shared" si="0"/>
        <v>700</v>
      </c>
      <c r="N15" s="22"/>
      <c r="O15" s="2"/>
      <c r="P15" s="2"/>
      <c r="Q15" s="2"/>
      <c r="R15" s="2"/>
    </row>
    <row r="16" spans="1:18" ht="24.95" customHeight="1" x14ac:dyDescent="0.25">
      <c r="A16" s="24">
        <v>15</v>
      </c>
      <c r="B16" s="25">
        <v>44299</v>
      </c>
      <c r="C16" s="38">
        <v>1248</v>
      </c>
      <c r="D16" s="39">
        <v>12345678925</v>
      </c>
      <c r="E16" s="40" t="s">
        <v>39</v>
      </c>
      <c r="F16" s="19">
        <v>0</v>
      </c>
      <c r="G16" s="35">
        <v>2</v>
      </c>
      <c r="H16" s="19">
        <v>0</v>
      </c>
      <c r="I16" s="19">
        <v>0</v>
      </c>
      <c r="J16" s="19">
        <v>0</v>
      </c>
      <c r="K16" s="19">
        <v>0</v>
      </c>
      <c r="L16" s="19">
        <f t="shared" si="1"/>
        <v>2</v>
      </c>
      <c r="M16" s="20">
        <f t="shared" si="0"/>
        <v>598</v>
      </c>
      <c r="N16" s="22"/>
      <c r="O16" s="2"/>
      <c r="P16" s="2"/>
      <c r="Q16" s="2"/>
      <c r="R16" s="2"/>
    </row>
    <row r="17" spans="1:18" ht="24.95" customHeight="1" x14ac:dyDescent="0.25">
      <c r="A17" s="24">
        <v>16</v>
      </c>
      <c r="B17" s="27">
        <v>44299</v>
      </c>
      <c r="C17" s="28">
        <v>1249</v>
      </c>
      <c r="D17" s="26">
        <v>12345678926</v>
      </c>
      <c r="E17" s="41" t="s">
        <v>40</v>
      </c>
      <c r="F17" s="19">
        <v>0</v>
      </c>
      <c r="G17" s="19">
        <v>0</v>
      </c>
      <c r="H17" s="19">
        <v>0</v>
      </c>
      <c r="I17" s="19">
        <v>0</v>
      </c>
      <c r="J17" s="19">
        <v>0</v>
      </c>
      <c r="K17" s="19">
        <v>0</v>
      </c>
      <c r="L17" s="19">
        <f t="shared" si="1"/>
        <v>0</v>
      </c>
      <c r="M17" s="20">
        <f t="shared" si="0"/>
        <v>700</v>
      </c>
      <c r="N17" s="22"/>
      <c r="O17" s="2"/>
      <c r="P17" s="2"/>
      <c r="Q17" s="2"/>
      <c r="R17" s="2"/>
    </row>
    <row r="18" spans="1:18" ht="24.95" customHeight="1" x14ac:dyDescent="0.25">
      <c r="A18" s="24">
        <v>17</v>
      </c>
      <c r="B18" s="25">
        <v>44586</v>
      </c>
      <c r="C18" s="38">
        <v>1250</v>
      </c>
      <c r="D18" s="39">
        <v>12345678927</v>
      </c>
      <c r="E18" s="40" t="s">
        <v>41</v>
      </c>
      <c r="F18" s="19">
        <v>0</v>
      </c>
      <c r="G18" s="19">
        <v>0</v>
      </c>
      <c r="H18" s="19">
        <v>0</v>
      </c>
      <c r="I18" s="19">
        <v>0</v>
      </c>
      <c r="J18" s="19">
        <v>0</v>
      </c>
      <c r="K18" s="19">
        <v>0</v>
      </c>
      <c r="L18" s="19">
        <f t="shared" si="1"/>
        <v>0</v>
      </c>
      <c r="M18" s="20">
        <f t="shared" si="0"/>
        <v>700</v>
      </c>
      <c r="N18" s="22"/>
      <c r="O18" s="2"/>
      <c r="P18" s="2"/>
      <c r="Q18" s="2"/>
      <c r="R18" s="2"/>
    </row>
    <row r="19" spans="1:18" ht="24.95" customHeight="1" x14ac:dyDescent="0.25">
      <c r="A19" s="24">
        <v>18</v>
      </c>
      <c r="B19" s="25">
        <v>44238</v>
      </c>
      <c r="C19" s="28">
        <v>1251</v>
      </c>
      <c r="D19" s="26">
        <v>12345678928</v>
      </c>
      <c r="E19" s="41" t="s">
        <v>42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  <c r="L19" s="19">
        <f t="shared" si="1"/>
        <v>0</v>
      </c>
      <c r="M19" s="20">
        <f t="shared" si="0"/>
        <v>700</v>
      </c>
      <c r="N19" s="22"/>
      <c r="O19" s="2"/>
      <c r="P19" s="2"/>
      <c r="Q19" s="2"/>
      <c r="R19" s="2"/>
    </row>
    <row r="20" spans="1:18" ht="24.95" customHeight="1" x14ac:dyDescent="0.25">
      <c r="A20" s="24">
        <v>19</v>
      </c>
      <c r="B20" s="25">
        <v>44674</v>
      </c>
      <c r="C20" s="38">
        <v>1252</v>
      </c>
      <c r="D20" s="39">
        <v>12345678929</v>
      </c>
      <c r="E20" s="40" t="s">
        <v>43</v>
      </c>
      <c r="F20" s="19">
        <v>0</v>
      </c>
      <c r="G20" s="19">
        <v>0</v>
      </c>
      <c r="H20" s="19">
        <v>0</v>
      </c>
      <c r="I20" s="19">
        <v>0</v>
      </c>
      <c r="J20" s="19">
        <v>0</v>
      </c>
      <c r="K20" s="19">
        <v>0</v>
      </c>
      <c r="L20" s="19">
        <f t="shared" si="1"/>
        <v>0</v>
      </c>
      <c r="M20" s="20">
        <f t="shared" si="0"/>
        <v>700</v>
      </c>
      <c r="N20" s="22"/>
      <c r="O20" s="2"/>
      <c r="P20" s="2"/>
      <c r="Q20" s="2"/>
      <c r="R20" s="2"/>
    </row>
    <row r="21" spans="1:18" ht="24.95" customHeight="1" x14ac:dyDescent="0.25">
      <c r="A21" s="24">
        <v>20</v>
      </c>
      <c r="B21" s="27">
        <v>45254</v>
      </c>
      <c r="C21" s="28">
        <v>1253</v>
      </c>
      <c r="D21" s="26">
        <v>12345678930</v>
      </c>
      <c r="E21" s="41" t="s">
        <v>44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>
        <f t="shared" si="1"/>
        <v>0</v>
      </c>
      <c r="M21" s="20">
        <f t="shared" si="0"/>
        <v>700</v>
      </c>
      <c r="N21" s="22"/>
      <c r="O21" s="2"/>
      <c r="P21" s="2"/>
      <c r="Q21" s="2"/>
      <c r="R21" s="2"/>
    </row>
    <row r="22" spans="1:18" ht="24.95" customHeight="1" x14ac:dyDescent="0.25">
      <c r="A22" s="24">
        <v>21</v>
      </c>
      <c r="B22" s="25">
        <v>44264</v>
      </c>
      <c r="C22" s="38">
        <v>1254</v>
      </c>
      <c r="D22" s="39">
        <v>12345678931</v>
      </c>
      <c r="E22" s="40" t="s">
        <v>45</v>
      </c>
      <c r="F22" s="19">
        <v>0</v>
      </c>
      <c r="G22" s="19">
        <v>0</v>
      </c>
      <c r="H22" s="19">
        <v>0</v>
      </c>
      <c r="I22" s="19">
        <v>0</v>
      </c>
      <c r="J22" s="19">
        <v>0</v>
      </c>
      <c r="K22" s="19">
        <v>0</v>
      </c>
      <c r="L22" s="19">
        <f t="shared" si="1"/>
        <v>0</v>
      </c>
      <c r="M22" s="20">
        <f t="shared" si="0"/>
        <v>700</v>
      </c>
      <c r="N22" s="22"/>
      <c r="O22" s="2"/>
      <c r="P22" s="2"/>
      <c r="Q22" s="2"/>
      <c r="R22" s="2"/>
    </row>
    <row r="23" spans="1:18" ht="24.95" customHeight="1" x14ac:dyDescent="0.25">
      <c r="A23" s="24">
        <v>22</v>
      </c>
      <c r="B23" s="25">
        <v>45492</v>
      </c>
      <c r="C23" s="28">
        <v>1255</v>
      </c>
      <c r="D23" s="26">
        <v>12345678932</v>
      </c>
      <c r="E23" s="41" t="s">
        <v>46</v>
      </c>
      <c r="F23" s="19">
        <v>0</v>
      </c>
      <c r="G23" s="35">
        <v>1</v>
      </c>
      <c r="H23" s="19">
        <v>0</v>
      </c>
      <c r="I23" s="19">
        <v>0</v>
      </c>
      <c r="J23" s="19">
        <v>0</v>
      </c>
      <c r="K23" s="19">
        <v>0</v>
      </c>
      <c r="L23" s="19">
        <f t="shared" si="1"/>
        <v>1</v>
      </c>
      <c r="M23" s="20">
        <f t="shared" si="0"/>
        <v>622</v>
      </c>
      <c r="N23" s="22"/>
      <c r="O23" s="2"/>
      <c r="P23" s="2"/>
      <c r="Q23" s="2"/>
      <c r="R23" s="2"/>
    </row>
    <row r="24" spans="1:18" ht="24.95" customHeight="1" x14ac:dyDescent="0.25">
      <c r="A24" s="24">
        <v>23</v>
      </c>
      <c r="B24" s="25">
        <v>44664</v>
      </c>
      <c r="C24" s="38">
        <v>1256</v>
      </c>
      <c r="D24" s="39">
        <v>12345678933</v>
      </c>
      <c r="E24" s="40" t="s">
        <v>47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  <c r="L24" s="19">
        <f t="shared" si="1"/>
        <v>0</v>
      </c>
      <c r="M24" s="20">
        <f t="shared" si="0"/>
        <v>700</v>
      </c>
      <c r="N24" s="22"/>
      <c r="O24" s="2"/>
      <c r="P24" s="2"/>
      <c r="Q24" s="2"/>
      <c r="R24" s="2"/>
    </row>
    <row r="25" spans="1:18" ht="24.95" customHeight="1" x14ac:dyDescent="0.25">
      <c r="A25" s="24">
        <v>24</v>
      </c>
      <c r="B25" s="27">
        <v>44333</v>
      </c>
      <c r="C25" s="28">
        <v>1257</v>
      </c>
      <c r="D25" s="26">
        <v>12345678934</v>
      </c>
      <c r="E25" s="41" t="s">
        <v>48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f t="shared" si="1"/>
        <v>0</v>
      </c>
      <c r="M25" s="20">
        <f t="shared" si="0"/>
        <v>700</v>
      </c>
      <c r="N25" s="22"/>
      <c r="O25" s="2"/>
      <c r="P25" s="2"/>
      <c r="Q25" s="2"/>
      <c r="R25" s="2"/>
    </row>
    <row r="26" spans="1:18" ht="24.95" customHeight="1" x14ac:dyDescent="0.25">
      <c r="A26" s="24">
        <v>25</v>
      </c>
      <c r="B26" s="25">
        <v>44720</v>
      </c>
      <c r="C26" s="38">
        <v>1258</v>
      </c>
      <c r="D26" s="39">
        <v>12345678935</v>
      </c>
      <c r="E26" s="40" t="s">
        <v>49</v>
      </c>
      <c r="F26" s="19">
        <v>0</v>
      </c>
      <c r="G26" s="35">
        <v>1</v>
      </c>
      <c r="H26" s="35">
        <v>2</v>
      </c>
      <c r="I26" s="19">
        <v>0</v>
      </c>
      <c r="J26" s="19">
        <v>0</v>
      </c>
      <c r="K26" s="19">
        <v>0</v>
      </c>
      <c r="L26" s="19">
        <f t="shared" si="1"/>
        <v>3</v>
      </c>
      <c r="M26" s="20">
        <f t="shared" si="0"/>
        <v>575</v>
      </c>
      <c r="N26" s="22"/>
      <c r="O26" s="2"/>
      <c r="P26" s="2"/>
      <c r="Q26" s="2"/>
      <c r="R26" s="2"/>
    </row>
    <row r="27" spans="1:18" ht="24.95" customHeight="1" x14ac:dyDescent="0.25">
      <c r="A27" s="24">
        <v>26</v>
      </c>
      <c r="B27" s="25">
        <v>45462</v>
      </c>
      <c r="C27" s="28">
        <v>1259</v>
      </c>
      <c r="D27" s="26">
        <v>12345678936</v>
      </c>
      <c r="E27" s="41" t="s">
        <v>50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f t="shared" si="1"/>
        <v>0</v>
      </c>
      <c r="M27" s="20">
        <f t="shared" si="0"/>
        <v>700</v>
      </c>
      <c r="N27" s="22"/>
      <c r="O27" s="2"/>
      <c r="P27" s="2"/>
      <c r="Q27" s="2"/>
      <c r="R27" s="2"/>
    </row>
    <row r="28" spans="1:18" ht="24.95" customHeight="1" x14ac:dyDescent="0.25">
      <c r="A28" s="24">
        <v>27</v>
      </c>
      <c r="B28" s="25">
        <v>44238</v>
      </c>
      <c r="C28" s="38">
        <v>1260</v>
      </c>
      <c r="D28" s="39">
        <v>12345678937</v>
      </c>
      <c r="E28" s="40" t="s">
        <v>51</v>
      </c>
      <c r="F28" s="19">
        <v>0</v>
      </c>
      <c r="G28" s="19">
        <v>0</v>
      </c>
      <c r="H28" s="19">
        <v>0</v>
      </c>
      <c r="I28" s="19">
        <v>0</v>
      </c>
      <c r="J28" s="19">
        <v>0</v>
      </c>
      <c r="K28" s="19">
        <v>0</v>
      </c>
      <c r="L28" s="19">
        <f t="shared" si="1"/>
        <v>0</v>
      </c>
      <c r="M28" s="20">
        <f t="shared" si="0"/>
        <v>700</v>
      </c>
      <c r="N28" s="22"/>
      <c r="O28" s="2"/>
      <c r="P28" s="2"/>
      <c r="Q28" s="2"/>
      <c r="R28" s="2"/>
    </row>
    <row r="29" spans="1:18" ht="24.95" customHeight="1" x14ac:dyDescent="0.25">
      <c r="A29" s="24">
        <v>28</v>
      </c>
      <c r="B29" s="27">
        <v>44294</v>
      </c>
      <c r="C29" s="28">
        <v>1261</v>
      </c>
      <c r="D29" s="26">
        <v>12345678938</v>
      </c>
      <c r="E29" s="41" t="s">
        <v>52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f t="shared" si="1"/>
        <v>0</v>
      </c>
      <c r="M29" s="20">
        <f t="shared" si="0"/>
        <v>700</v>
      </c>
      <c r="N29" s="22"/>
      <c r="O29" s="2"/>
      <c r="P29" s="2"/>
      <c r="Q29" s="2"/>
      <c r="R29" s="2"/>
    </row>
    <row r="30" spans="1:18" ht="24.95" customHeight="1" x14ac:dyDescent="0.25">
      <c r="A30" s="24">
        <v>29</v>
      </c>
      <c r="B30" s="25">
        <v>45433</v>
      </c>
      <c r="C30" s="38">
        <v>1262</v>
      </c>
      <c r="D30" s="39">
        <v>12345678939</v>
      </c>
      <c r="E30" s="40" t="s">
        <v>53</v>
      </c>
      <c r="F30" s="19">
        <v>0</v>
      </c>
      <c r="G30" s="19">
        <v>0</v>
      </c>
      <c r="H30" s="19">
        <v>0</v>
      </c>
      <c r="I30" s="19">
        <v>0</v>
      </c>
      <c r="J30" s="19">
        <v>0</v>
      </c>
      <c r="K30" s="19">
        <v>0</v>
      </c>
      <c r="L30" s="19">
        <f t="shared" si="1"/>
        <v>0</v>
      </c>
      <c r="M30" s="20">
        <f t="shared" si="0"/>
        <v>700</v>
      </c>
      <c r="N30" s="22"/>
      <c r="O30" s="2"/>
      <c r="P30" s="2"/>
      <c r="Q30" s="2"/>
      <c r="R30" s="2"/>
    </row>
    <row r="31" spans="1:18" ht="24.95" customHeight="1" x14ac:dyDescent="0.25">
      <c r="A31" s="24">
        <v>30</v>
      </c>
      <c r="B31" s="25">
        <v>45140</v>
      </c>
      <c r="C31" s="28">
        <v>1263</v>
      </c>
      <c r="D31" s="26">
        <v>12345678940</v>
      </c>
      <c r="E31" s="41" t="s">
        <v>54</v>
      </c>
      <c r="F31" s="19">
        <v>0</v>
      </c>
      <c r="G31" s="19">
        <v>0</v>
      </c>
      <c r="H31" s="19">
        <v>0</v>
      </c>
      <c r="I31" s="19">
        <v>0</v>
      </c>
      <c r="J31" s="19">
        <v>6</v>
      </c>
      <c r="K31" s="19">
        <v>0</v>
      </c>
      <c r="L31" s="19">
        <f t="shared" si="1"/>
        <v>0</v>
      </c>
      <c r="M31" s="20">
        <f t="shared" si="0"/>
        <v>560</v>
      </c>
      <c r="N31" s="36" t="s">
        <v>8</v>
      </c>
      <c r="O31" s="2"/>
      <c r="P31" s="2"/>
      <c r="Q31" s="2"/>
      <c r="R31" s="2"/>
    </row>
    <row r="32" spans="1:18" ht="24.95" customHeight="1" x14ac:dyDescent="0.25">
      <c r="A32" s="24">
        <v>31</v>
      </c>
      <c r="B32" s="25">
        <v>44940</v>
      </c>
      <c r="C32" s="38">
        <v>1264</v>
      </c>
      <c r="D32" s="39">
        <v>12345678941</v>
      </c>
      <c r="E32" s="40" t="s">
        <v>55</v>
      </c>
      <c r="F32" s="19">
        <v>0</v>
      </c>
      <c r="G32" s="19">
        <v>0</v>
      </c>
      <c r="H32" s="19">
        <v>0</v>
      </c>
      <c r="I32" s="19">
        <v>0</v>
      </c>
      <c r="J32" s="19">
        <v>0</v>
      </c>
      <c r="K32" s="19">
        <v>0</v>
      </c>
      <c r="L32" s="19">
        <f t="shared" si="1"/>
        <v>0</v>
      </c>
      <c r="M32" s="20">
        <f t="shared" si="0"/>
        <v>700</v>
      </c>
      <c r="N32" s="22"/>
      <c r="O32" s="2"/>
      <c r="P32" s="2"/>
      <c r="Q32" s="2"/>
      <c r="R32" s="2"/>
    </row>
    <row r="33" spans="1:18" ht="24.95" customHeight="1" x14ac:dyDescent="0.25">
      <c r="A33" s="24">
        <v>32</v>
      </c>
      <c r="B33" s="25">
        <v>45308</v>
      </c>
      <c r="C33" s="28">
        <v>1265</v>
      </c>
      <c r="D33" s="26">
        <v>12345678942</v>
      </c>
      <c r="E33" s="41" t="s">
        <v>56</v>
      </c>
      <c r="F33" s="19">
        <v>0</v>
      </c>
      <c r="G33" s="19">
        <v>0</v>
      </c>
      <c r="H33" s="35">
        <v>3</v>
      </c>
      <c r="I33" s="19">
        <v>0</v>
      </c>
      <c r="J33" s="19">
        <v>0</v>
      </c>
      <c r="K33" s="19">
        <v>0</v>
      </c>
      <c r="L33" s="19">
        <f t="shared" si="1"/>
        <v>3</v>
      </c>
      <c r="M33" s="20">
        <f t="shared" si="0"/>
        <v>575</v>
      </c>
      <c r="N33" s="22"/>
      <c r="O33" s="2"/>
      <c r="P33" s="2"/>
      <c r="Q33" s="2"/>
      <c r="R33" s="2"/>
    </row>
    <row r="34" spans="1:18" ht="24.95" customHeight="1" x14ac:dyDescent="0.25">
      <c r="A34" s="24">
        <v>33</v>
      </c>
      <c r="B34" s="27">
        <v>44664</v>
      </c>
      <c r="C34" s="38">
        <v>1266</v>
      </c>
      <c r="D34" s="39">
        <v>12345678943</v>
      </c>
      <c r="E34" s="40" t="s">
        <v>57</v>
      </c>
      <c r="F34" s="19">
        <v>0</v>
      </c>
      <c r="G34" s="35">
        <v>1</v>
      </c>
      <c r="H34" s="19">
        <v>0</v>
      </c>
      <c r="I34" s="19">
        <v>0</v>
      </c>
      <c r="J34" s="19">
        <v>0</v>
      </c>
      <c r="K34" s="19">
        <v>0</v>
      </c>
      <c r="L34" s="19">
        <f t="shared" si="1"/>
        <v>1</v>
      </c>
      <c r="M34" s="20">
        <f t="shared" ref="M34:M61" si="2">IF(K34=0,ROUND(IF(R$3-L34*R$4-J34*R$4-I34*R$4&lt;0,0,R$3-L34*R$4-IF(L34=0,0,R$5)-J34*R$4-I34*R$4),0),K34*R36-IF(L34=0,0,R37)-L34*R36)</f>
        <v>622</v>
      </c>
      <c r="N34" s="22"/>
      <c r="O34" s="2"/>
      <c r="P34" s="2"/>
      <c r="Q34" s="2"/>
      <c r="R34" s="2"/>
    </row>
    <row r="35" spans="1:18" ht="24.95" customHeight="1" x14ac:dyDescent="0.25">
      <c r="A35" s="24">
        <v>34</v>
      </c>
      <c r="B35" s="25">
        <v>45505</v>
      </c>
      <c r="C35" s="28">
        <v>1267</v>
      </c>
      <c r="D35" s="26">
        <v>12345678944</v>
      </c>
      <c r="E35" s="41" t="s">
        <v>58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  <c r="L35" s="19">
        <f t="shared" si="1"/>
        <v>0</v>
      </c>
      <c r="M35" s="20">
        <f t="shared" si="2"/>
        <v>700</v>
      </c>
      <c r="N35" s="22"/>
      <c r="O35" s="2"/>
      <c r="P35" s="2"/>
      <c r="Q35" s="2"/>
      <c r="R35" s="2"/>
    </row>
    <row r="36" spans="1:18" ht="24.95" customHeight="1" x14ac:dyDescent="0.25">
      <c r="A36" s="24">
        <v>35</v>
      </c>
      <c r="B36" s="25">
        <v>44383</v>
      </c>
      <c r="C36" s="38">
        <v>1268</v>
      </c>
      <c r="D36" s="39">
        <v>12345678945</v>
      </c>
      <c r="E36" s="40" t="s">
        <v>59</v>
      </c>
      <c r="F36" s="19">
        <v>0</v>
      </c>
      <c r="G36" s="19">
        <v>8</v>
      </c>
      <c r="H36" s="19">
        <v>0</v>
      </c>
      <c r="I36" s="19">
        <v>0</v>
      </c>
      <c r="J36" s="19">
        <v>0</v>
      </c>
      <c r="K36" s="19">
        <v>0</v>
      </c>
      <c r="L36" s="19">
        <f t="shared" ref="L36:L67" si="3">SUM(G36:H36)</f>
        <v>8</v>
      </c>
      <c r="M36" s="20">
        <f t="shared" si="2"/>
        <v>458</v>
      </c>
      <c r="N36" s="22"/>
      <c r="O36" s="2"/>
      <c r="P36" s="2"/>
      <c r="Q36" s="2"/>
      <c r="R36" s="2"/>
    </row>
    <row r="37" spans="1:18" ht="24.95" customHeight="1" x14ac:dyDescent="0.25">
      <c r="A37" s="24">
        <v>36</v>
      </c>
      <c r="B37" s="25">
        <v>44674</v>
      </c>
      <c r="C37" s="28">
        <v>1269</v>
      </c>
      <c r="D37" s="26">
        <v>12345678946</v>
      </c>
      <c r="E37" s="41" t="s">
        <v>60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f t="shared" si="3"/>
        <v>0</v>
      </c>
      <c r="M37" s="20">
        <f t="shared" si="2"/>
        <v>700</v>
      </c>
      <c r="N37" s="22"/>
      <c r="O37" s="2"/>
      <c r="P37" s="2"/>
      <c r="Q37" s="2"/>
      <c r="R37" s="2"/>
    </row>
    <row r="38" spans="1:18" ht="24.95" customHeight="1" x14ac:dyDescent="0.25">
      <c r="A38" s="24">
        <v>37</v>
      </c>
      <c r="B38" s="27">
        <v>44601</v>
      </c>
      <c r="C38" s="38">
        <v>1270</v>
      </c>
      <c r="D38" s="39">
        <v>12345678947</v>
      </c>
      <c r="E38" s="40" t="s">
        <v>61</v>
      </c>
      <c r="F38" s="19">
        <v>0</v>
      </c>
      <c r="G38" s="35">
        <v>2</v>
      </c>
      <c r="H38" s="19">
        <v>0</v>
      </c>
      <c r="I38" s="19">
        <v>0</v>
      </c>
      <c r="J38" s="19">
        <v>0</v>
      </c>
      <c r="K38" s="19">
        <v>0</v>
      </c>
      <c r="L38" s="19">
        <f t="shared" si="3"/>
        <v>2</v>
      </c>
      <c r="M38" s="20">
        <f t="shared" si="2"/>
        <v>598</v>
      </c>
      <c r="N38" s="22"/>
      <c r="O38" s="2"/>
      <c r="P38" s="2"/>
      <c r="Q38" s="2"/>
      <c r="R38" s="2"/>
    </row>
    <row r="39" spans="1:18" ht="24.95" customHeight="1" x14ac:dyDescent="0.25">
      <c r="A39" s="24">
        <v>38</v>
      </c>
      <c r="B39" s="25">
        <v>45560</v>
      </c>
      <c r="C39" s="28">
        <v>1271</v>
      </c>
      <c r="D39" s="26">
        <v>12345678948</v>
      </c>
      <c r="E39" s="41" t="s">
        <v>62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19">
        <f t="shared" si="3"/>
        <v>0</v>
      </c>
      <c r="M39" s="20">
        <f t="shared" si="2"/>
        <v>700</v>
      </c>
      <c r="N39" s="22"/>
      <c r="O39" s="2"/>
      <c r="P39" s="2"/>
      <c r="Q39" s="2"/>
      <c r="R39" s="2"/>
    </row>
    <row r="40" spans="1:18" ht="24.95" customHeight="1" x14ac:dyDescent="0.25">
      <c r="A40" s="24">
        <v>39</v>
      </c>
      <c r="B40" s="29">
        <v>44280</v>
      </c>
      <c r="C40" s="38">
        <v>1272</v>
      </c>
      <c r="D40" s="39">
        <v>12345678949</v>
      </c>
      <c r="E40" s="40" t="s">
        <v>63</v>
      </c>
      <c r="F40" s="19">
        <v>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19">
        <f t="shared" si="3"/>
        <v>0</v>
      </c>
      <c r="M40" s="20">
        <f t="shared" si="2"/>
        <v>700</v>
      </c>
      <c r="N40" s="22"/>
      <c r="O40" s="2"/>
      <c r="P40" s="2"/>
      <c r="Q40" s="2"/>
      <c r="R40" s="2"/>
    </row>
    <row r="41" spans="1:18" ht="24.95" customHeight="1" x14ac:dyDescent="0.25">
      <c r="A41" s="24">
        <v>40</v>
      </c>
      <c r="B41" s="25">
        <v>45118</v>
      </c>
      <c r="C41" s="28">
        <v>1273</v>
      </c>
      <c r="D41" s="26">
        <v>12345678950</v>
      </c>
      <c r="E41" s="41" t="s">
        <v>64</v>
      </c>
      <c r="F41" s="19">
        <v>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19">
        <f t="shared" si="3"/>
        <v>0</v>
      </c>
      <c r="M41" s="20">
        <f t="shared" si="2"/>
        <v>700</v>
      </c>
      <c r="N41" s="22"/>
      <c r="O41" s="2"/>
      <c r="P41" s="2"/>
      <c r="Q41" s="2"/>
      <c r="R41" s="2"/>
    </row>
    <row r="42" spans="1:18" ht="24.95" customHeight="1" x14ac:dyDescent="0.25">
      <c r="A42" s="24">
        <v>41</v>
      </c>
      <c r="B42" s="27">
        <v>45365</v>
      </c>
      <c r="C42" s="38">
        <v>1274</v>
      </c>
      <c r="D42" s="39">
        <v>12345678951</v>
      </c>
      <c r="E42" s="40" t="s">
        <v>65</v>
      </c>
      <c r="F42" s="19">
        <v>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19">
        <f t="shared" si="3"/>
        <v>0</v>
      </c>
      <c r="M42" s="20">
        <f t="shared" si="2"/>
        <v>700</v>
      </c>
      <c r="N42" s="22"/>
      <c r="O42" s="2"/>
      <c r="P42" s="2"/>
      <c r="Q42" s="2"/>
      <c r="R42" s="2"/>
    </row>
    <row r="43" spans="1:18" ht="24.95" customHeight="1" x14ac:dyDescent="0.25">
      <c r="A43" s="24">
        <v>42</v>
      </c>
      <c r="B43" s="25">
        <v>44421</v>
      </c>
      <c r="C43" s="28">
        <v>1275</v>
      </c>
      <c r="D43" s="26">
        <v>12345678952</v>
      </c>
      <c r="E43" s="41" t="s">
        <v>66</v>
      </c>
      <c r="F43" s="19">
        <v>0</v>
      </c>
      <c r="G43" s="35">
        <v>1</v>
      </c>
      <c r="H43" s="35">
        <v>1</v>
      </c>
      <c r="I43" s="19">
        <v>0</v>
      </c>
      <c r="J43" s="19">
        <v>0</v>
      </c>
      <c r="K43" s="19">
        <v>0</v>
      </c>
      <c r="L43" s="19">
        <f t="shared" si="3"/>
        <v>2</v>
      </c>
      <c r="M43" s="20">
        <f t="shared" si="2"/>
        <v>598</v>
      </c>
      <c r="N43" s="22"/>
      <c r="O43" s="2"/>
      <c r="P43" s="2"/>
      <c r="Q43" s="2"/>
      <c r="R43" s="2"/>
    </row>
    <row r="44" spans="1:18" ht="24.95" customHeight="1" x14ac:dyDescent="0.25">
      <c r="A44" s="24">
        <v>43</v>
      </c>
      <c r="B44" s="25">
        <v>44973</v>
      </c>
      <c r="C44" s="38">
        <v>1276</v>
      </c>
      <c r="D44" s="39">
        <v>12345678953</v>
      </c>
      <c r="E44" s="40" t="s">
        <v>67</v>
      </c>
      <c r="F44" s="19">
        <v>0</v>
      </c>
      <c r="G44" s="19">
        <v>0</v>
      </c>
      <c r="H44" s="35">
        <v>2</v>
      </c>
      <c r="I44" s="19">
        <v>0</v>
      </c>
      <c r="J44" s="19">
        <v>0</v>
      </c>
      <c r="K44" s="19">
        <v>0</v>
      </c>
      <c r="L44" s="19">
        <f t="shared" si="3"/>
        <v>2</v>
      </c>
      <c r="M44" s="20">
        <f t="shared" si="2"/>
        <v>598</v>
      </c>
      <c r="N44" s="22"/>
      <c r="O44" s="2"/>
      <c r="P44" s="2"/>
      <c r="Q44" s="2"/>
      <c r="R44" s="2"/>
    </row>
    <row r="45" spans="1:18" ht="24.95" customHeight="1" x14ac:dyDescent="0.25">
      <c r="A45" s="24">
        <v>44</v>
      </c>
      <c r="B45" s="25">
        <v>45156</v>
      </c>
      <c r="C45" s="28">
        <v>1277</v>
      </c>
      <c r="D45" s="26">
        <v>12345678954</v>
      </c>
      <c r="E45" s="41" t="s">
        <v>68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f t="shared" si="3"/>
        <v>0</v>
      </c>
      <c r="M45" s="20">
        <f t="shared" si="2"/>
        <v>700</v>
      </c>
      <c r="N45" s="22"/>
      <c r="O45" s="2"/>
      <c r="P45" s="2"/>
      <c r="Q45" s="2"/>
      <c r="R45" s="2"/>
    </row>
    <row r="46" spans="1:18" ht="24.95" customHeight="1" x14ac:dyDescent="0.25">
      <c r="A46" s="24">
        <v>45</v>
      </c>
      <c r="B46" s="27">
        <v>44268</v>
      </c>
      <c r="C46" s="38">
        <v>1278</v>
      </c>
      <c r="D46" s="39">
        <v>12345678955</v>
      </c>
      <c r="E46" s="40" t="s">
        <v>69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0</v>
      </c>
      <c r="L46" s="19">
        <f t="shared" si="3"/>
        <v>0</v>
      </c>
      <c r="M46" s="20">
        <f t="shared" si="2"/>
        <v>700</v>
      </c>
      <c r="N46" s="22"/>
      <c r="O46" s="2"/>
      <c r="P46" s="2"/>
      <c r="Q46" s="2"/>
      <c r="R46" s="2"/>
    </row>
    <row r="47" spans="1:18" ht="24.95" customHeight="1" x14ac:dyDescent="0.25">
      <c r="A47" s="24">
        <v>46</v>
      </c>
      <c r="B47" s="25">
        <v>44986</v>
      </c>
      <c r="C47" s="28">
        <v>1279</v>
      </c>
      <c r="D47" s="26">
        <v>12345678956</v>
      </c>
      <c r="E47" s="41" t="s">
        <v>70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0</v>
      </c>
      <c r="L47" s="19">
        <f t="shared" si="3"/>
        <v>0</v>
      </c>
      <c r="M47" s="20">
        <f t="shared" si="2"/>
        <v>700</v>
      </c>
      <c r="N47" s="22"/>
      <c r="O47" s="2"/>
      <c r="P47" s="2"/>
      <c r="Q47" s="2"/>
      <c r="R47" s="2"/>
    </row>
    <row r="48" spans="1:18" ht="24.95" customHeight="1" x14ac:dyDescent="0.25">
      <c r="A48" s="24">
        <v>47</v>
      </c>
      <c r="B48" s="25">
        <v>45140</v>
      </c>
      <c r="C48" s="38">
        <v>1280</v>
      </c>
      <c r="D48" s="39">
        <v>12345678957</v>
      </c>
      <c r="E48" s="40" t="s">
        <v>71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v>0</v>
      </c>
      <c r="L48" s="19">
        <f t="shared" si="3"/>
        <v>0</v>
      </c>
      <c r="M48" s="20">
        <f t="shared" si="2"/>
        <v>700</v>
      </c>
      <c r="N48" s="22"/>
      <c r="O48" s="2"/>
      <c r="P48" s="2"/>
      <c r="Q48" s="2"/>
      <c r="R48" s="2"/>
    </row>
    <row r="49" spans="1:18" ht="24.95" customHeight="1" x14ac:dyDescent="0.25">
      <c r="A49" s="24">
        <v>48</v>
      </c>
      <c r="B49" s="25">
        <v>45462</v>
      </c>
      <c r="C49" s="28">
        <v>1281</v>
      </c>
      <c r="D49" s="26">
        <v>12345678958</v>
      </c>
      <c r="E49" s="41" t="s">
        <v>72</v>
      </c>
      <c r="F49" s="19">
        <v>0</v>
      </c>
      <c r="G49" s="19">
        <v>0</v>
      </c>
      <c r="H49" s="19">
        <v>0</v>
      </c>
      <c r="I49" s="19">
        <v>0</v>
      </c>
      <c r="J49" s="19">
        <v>0</v>
      </c>
      <c r="K49" s="19">
        <v>0</v>
      </c>
      <c r="L49" s="19">
        <f t="shared" si="3"/>
        <v>0</v>
      </c>
      <c r="M49" s="20">
        <f t="shared" si="2"/>
        <v>700</v>
      </c>
      <c r="N49" s="22"/>
      <c r="O49" s="2"/>
      <c r="P49" s="2"/>
      <c r="Q49" s="2"/>
      <c r="R49" s="2"/>
    </row>
    <row r="50" spans="1:18" ht="24.95" customHeight="1" x14ac:dyDescent="0.25">
      <c r="A50" s="24">
        <v>49</v>
      </c>
      <c r="B50" s="27">
        <v>44674</v>
      </c>
      <c r="C50" s="38">
        <v>1282</v>
      </c>
      <c r="D50" s="39">
        <v>12345678959</v>
      </c>
      <c r="E50" s="40" t="s">
        <v>73</v>
      </c>
      <c r="F50" s="19">
        <v>0</v>
      </c>
      <c r="G50" s="19">
        <v>0</v>
      </c>
      <c r="H50" s="19">
        <v>0</v>
      </c>
      <c r="I50" s="19">
        <v>0</v>
      </c>
      <c r="J50" s="19">
        <v>0</v>
      </c>
      <c r="K50" s="19">
        <v>0</v>
      </c>
      <c r="L50" s="19">
        <f t="shared" si="3"/>
        <v>0</v>
      </c>
      <c r="M50" s="20">
        <f t="shared" si="2"/>
        <v>700</v>
      </c>
      <c r="N50" s="22"/>
      <c r="O50" s="2"/>
      <c r="P50" s="2"/>
      <c r="Q50" s="2"/>
      <c r="R50" s="2"/>
    </row>
    <row r="51" spans="1:18" ht="24.95" customHeight="1" x14ac:dyDescent="0.25">
      <c r="A51" s="24">
        <v>50</v>
      </c>
      <c r="B51" s="25">
        <v>45523</v>
      </c>
      <c r="C51" s="28">
        <v>1283</v>
      </c>
      <c r="D51" s="26">
        <v>12345678960</v>
      </c>
      <c r="E51" s="41" t="s">
        <v>74</v>
      </c>
      <c r="F51" s="19">
        <v>0</v>
      </c>
      <c r="G51" s="19">
        <v>0</v>
      </c>
      <c r="H51" s="19">
        <v>0</v>
      </c>
      <c r="I51" s="19">
        <v>0</v>
      </c>
      <c r="J51" s="19">
        <v>0</v>
      </c>
      <c r="K51" s="19">
        <v>0</v>
      </c>
      <c r="L51" s="19">
        <f t="shared" si="3"/>
        <v>0</v>
      </c>
      <c r="M51" s="20">
        <f t="shared" si="2"/>
        <v>700</v>
      </c>
      <c r="N51" s="22"/>
      <c r="O51" s="2"/>
      <c r="P51" s="2"/>
      <c r="Q51" s="2"/>
      <c r="R51" s="2"/>
    </row>
    <row r="52" spans="1:18" ht="24.95" customHeight="1" x14ac:dyDescent="0.25">
      <c r="A52" s="24">
        <v>51</v>
      </c>
      <c r="B52" s="30">
        <v>45433</v>
      </c>
      <c r="C52" s="38">
        <v>1284</v>
      </c>
      <c r="D52" s="39">
        <v>12345678961</v>
      </c>
      <c r="E52" s="40" t="s">
        <v>75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0</v>
      </c>
      <c r="L52" s="19">
        <f t="shared" si="3"/>
        <v>0</v>
      </c>
      <c r="M52" s="20">
        <f t="shared" si="2"/>
        <v>700</v>
      </c>
      <c r="N52" s="22"/>
      <c r="O52" s="2"/>
      <c r="P52" s="2"/>
      <c r="Q52" s="2"/>
      <c r="R52" s="2"/>
    </row>
    <row r="53" spans="1:18" ht="24.95" customHeight="1" x14ac:dyDescent="0.25">
      <c r="A53" s="24">
        <v>52</v>
      </c>
      <c r="B53" s="25">
        <v>44519</v>
      </c>
      <c r="C53" s="28">
        <v>1285</v>
      </c>
      <c r="D53" s="26">
        <v>12345678962</v>
      </c>
      <c r="E53" s="41" t="s">
        <v>76</v>
      </c>
      <c r="F53" s="19">
        <v>0</v>
      </c>
      <c r="G53" s="19">
        <v>0</v>
      </c>
      <c r="H53" s="19">
        <v>0</v>
      </c>
      <c r="I53" s="19">
        <v>0</v>
      </c>
      <c r="J53" s="19">
        <v>0</v>
      </c>
      <c r="K53" s="19">
        <v>0</v>
      </c>
      <c r="L53" s="19">
        <f t="shared" si="3"/>
        <v>0</v>
      </c>
      <c r="M53" s="20">
        <f t="shared" si="2"/>
        <v>700</v>
      </c>
      <c r="N53" s="22"/>
      <c r="O53" s="2"/>
      <c r="P53" s="2"/>
      <c r="Q53" s="2"/>
      <c r="R53" s="2"/>
    </row>
    <row r="54" spans="1:18" ht="24.95" customHeight="1" x14ac:dyDescent="0.25">
      <c r="A54" s="24">
        <v>53</v>
      </c>
      <c r="B54" s="27">
        <v>45083</v>
      </c>
      <c r="C54" s="38">
        <v>1286</v>
      </c>
      <c r="D54" s="39">
        <v>12345678963</v>
      </c>
      <c r="E54" s="40" t="s">
        <v>77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0</v>
      </c>
      <c r="L54" s="19">
        <f t="shared" si="3"/>
        <v>0</v>
      </c>
      <c r="M54" s="20">
        <f t="shared" si="2"/>
        <v>700</v>
      </c>
      <c r="N54" s="22"/>
      <c r="O54" s="2"/>
      <c r="P54" s="2"/>
      <c r="Q54" s="2"/>
      <c r="R54" s="2"/>
    </row>
    <row r="55" spans="1:18" ht="24.95" customHeight="1" x14ac:dyDescent="0.25">
      <c r="A55" s="24">
        <v>54</v>
      </c>
      <c r="B55" s="25">
        <v>45351</v>
      </c>
      <c r="C55" s="28">
        <v>1287</v>
      </c>
      <c r="D55" s="26">
        <v>12345678964</v>
      </c>
      <c r="E55" s="41" t="s">
        <v>78</v>
      </c>
      <c r="F55" s="19">
        <v>0</v>
      </c>
      <c r="G55" s="19">
        <v>0</v>
      </c>
      <c r="H55" s="35">
        <v>3</v>
      </c>
      <c r="I55" s="19">
        <v>0</v>
      </c>
      <c r="J55" s="19">
        <v>0</v>
      </c>
      <c r="K55" s="19">
        <v>0</v>
      </c>
      <c r="L55" s="19">
        <f t="shared" si="3"/>
        <v>3</v>
      </c>
      <c r="M55" s="20">
        <f t="shared" si="2"/>
        <v>575</v>
      </c>
      <c r="N55" s="22"/>
      <c r="O55" s="2"/>
      <c r="P55" s="2"/>
      <c r="Q55" s="2"/>
      <c r="R55" s="2"/>
    </row>
    <row r="56" spans="1:18" ht="24.95" customHeight="1" x14ac:dyDescent="0.25">
      <c r="A56" s="24">
        <v>55</v>
      </c>
      <c r="B56" s="29">
        <v>44670</v>
      </c>
      <c r="C56" s="38">
        <v>1288</v>
      </c>
      <c r="D56" s="39">
        <v>12345678965</v>
      </c>
      <c r="E56" s="40" t="s">
        <v>79</v>
      </c>
      <c r="F56" s="19">
        <v>0</v>
      </c>
      <c r="G56" s="19">
        <v>0</v>
      </c>
      <c r="H56" s="19">
        <v>0</v>
      </c>
      <c r="I56" s="19">
        <v>0</v>
      </c>
      <c r="J56" s="19">
        <v>0</v>
      </c>
      <c r="K56" s="19">
        <v>0</v>
      </c>
      <c r="L56" s="19">
        <f t="shared" si="3"/>
        <v>0</v>
      </c>
      <c r="M56" s="20">
        <f t="shared" si="2"/>
        <v>700</v>
      </c>
      <c r="N56" s="22"/>
      <c r="O56" s="2"/>
      <c r="P56" s="2"/>
      <c r="Q56" s="2"/>
      <c r="R56" s="2"/>
    </row>
    <row r="57" spans="1:18" ht="24.95" customHeight="1" x14ac:dyDescent="0.25">
      <c r="A57" s="24">
        <v>56</v>
      </c>
      <c r="B57" s="29">
        <v>44238</v>
      </c>
      <c r="C57" s="28">
        <v>1289</v>
      </c>
      <c r="D57" s="26">
        <v>12345678966</v>
      </c>
      <c r="E57" s="41" t="s">
        <v>80</v>
      </c>
      <c r="F57" s="19">
        <v>0</v>
      </c>
      <c r="G57" s="19">
        <v>0</v>
      </c>
      <c r="H57" s="19">
        <v>0</v>
      </c>
      <c r="I57" s="19">
        <v>0</v>
      </c>
      <c r="J57" s="19">
        <v>0</v>
      </c>
      <c r="K57" s="19">
        <v>0</v>
      </c>
      <c r="L57" s="19">
        <f t="shared" si="3"/>
        <v>0</v>
      </c>
      <c r="M57" s="20">
        <f t="shared" si="2"/>
        <v>700</v>
      </c>
      <c r="N57" s="22"/>
      <c r="O57" s="2"/>
      <c r="P57" s="2"/>
      <c r="Q57" s="2"/>
      <c r="R57" s="2"/>
    </row>
    <row r="58" spans="1:18" ht="24.95" customHeight="1" x14ac:dyDescent="0.25">
      <c r="A58" s="24">
        <v>57</v>
      </c>
      <c r="B58" s="27">
        <v>45002</v>
      </c>
      <c r="C58" s="38">
        <v>1290</v>
      </c>
      <c r="D58" s="39">
        <v>12345678967</v>
      </c>
      <c r="E58" s="40" t="s">
        <v>81</v>
      </c>
      <c r="F58" s="19">
        <v>0</v>
      </c>
      <c r="G58" s="19">
        <v>0</v>
      </c>
      <c r="H58" s="19">
        <v>0</v>
      </c>
      <c r="I58" s="19">
        <v>0</v>
      </c>
      <c r="J58" s="19">
        <v>6</v>
      </c>
      <c r="K58" s="19">
        <v>0</v>
      </c>
      <c r="L58" s="19">
        <f t="shared" si="3"/>
        <v>0</v>
      </c>
      <c r="M58" s="20">
        <f t="shared" si="2"/>
        <v>560</v>
      </c>
      <c r="N58" s="36" t="s">
        <v>24</v>
      </c>
      <c r="O58" s="2"/>
      <c r="P58" s="2"/>
      <c r="Q58" s="2"/>
      <c r="R58" s="2"/>
    </row>
    <row r="59" spans="1:18" ht="24.95" customHeight="1" x14ac:dyDescent="0.25">
      <c r="A59" s="24">
        <v>58</v>
      </c>
      <c r="B59" s="25">
        <v>44238</v>
      </c>
      <c r="C59" s="28">
        <v>1291</v>
      </c>
      <c r="D59" s="26">
        <v>12345678968</v>
      </c>
      <c r="E59" s="41" t="s">
        <v>82</v>
      </c>
      <c r="F59" s="19">
        <v>0</v>
      </c>
      <c r="G59" s="19">
        <v>0</v>
      </c>
      <c r="H59" s="35">
        <v>1</v>
      </c>
      <c r="I59" s="19">
        <v>0</v>
      </c>
      <c r="J59" s="19">
        <v>0</v>
      </c>
      <c r="K59" s="19">
        <v>0</v>
      </c>
      <c r="L59" s="19">
        <f t="shared" si="3"/>
        <v>1</v>
      </c>
      <c r="M59" s="20">
        <f t="shared" si="2"/>
        <v>622</v>
      </c>
      <c r="N59" s="22"/>
      <c r="O59" s="2"/>
      <c r="P59" s="2"/>
      <c r="Q59" s="2"/>
      <c r="R59" s="2"/>
    </row>
    <row r="60" spans="1:18" ht="24.95" customHeight="1" x14ac:dyDescent="0.25">
      <c r="A60" s="24">
        <v>59</v>
      </c>
      <c r="B60" s="27">
        <v>44238</v>
      </c>
      <c r="C60" s="38">
        <v>1292</v>
      </c>
      <c r="D60" s="39">
        <v>12345678969</v>
      </c>
      <c r="E60" s="40" t="s">
        <v>83</v>
      </c>
      <c r="F60" s="19">
        <v>0</v>
      </c>
      <c r="G60" s="35">
        <v>1</v>
      </c>
      <c r="H60" s="19">
        <v>0</v>
      </c>
      <c r="I60" s="19">
        <v>0</v>
      </c>
      <c r="J60" s="19">
        <v>0</v>
      </c>
      <c r="K60" s="19">
        <v>0</v>
      </c>
      <c r="L60" s="19">
        <f t="shared" si="3"/>
        <v>1</v>
      </c>
      <c r="M60" s="20">
        <f t="shared" si="2"/>
        <v>622</v>
      </c>
      <c r="N60" s="22"/>
      <c r="O60" s="2"/>
      <c r="P60" s="2"/>
      <c r="Q60" s="2"/>
      <c r="R60" s="2"/>
    </row>
    <row r="61" spans="1:18" ht="24.95" customHeight="1" x14ac:dyDescent="0.25">
      <c r="A61" s="24">
        <v>60</v>
      </c>
      <c r="B61" s="25">
        <v>44254</v>
      </c>
      <c r="C61" s="28">
        <v>1293</v>
      </c>
      <c r="D61" s="26">
        <v>12345678970</v>
      </c>
      <c r="E61" s="41" t="s">
        <v>84</v>
      </c>
      <c r="F61" s="19">
        <v>0</v>
      </c>
      <c r="G61" s="19">
        <v>0</v>
      </c>
      <c r="H61" s="19">
        <v>0</v>
      </c>
      <c r="I61" s="19">
        <v>0</v>
      </c>
      <c r="J61" s="19">
        <v>2</v>
      </c>
      <c r="K61" s="19">
        <v>0</v>
      </c>
      <c r="L61" s="19">
        <f t="shared" si="3"/>
        <v>0</v>
      </c>
      <c r="M61" s="20">
        <f t="shared" si="2"/>
        <v>653</v>
      </c>
      <c r="N61" s="36" t="s">
        <v>24</v>
      </c>
      <c r="O61" s="2"/>
      <c r="P61" s="2"/>
      <c r="Q61" s="2"/>
      <c r="R61" s="2"/>
    </row>
    <row r="62" spans="1:18" ht="24.95" customHeight="1" x14ac:dyDescent="0.25">
      <c r="A62" s="24">
        <v>61</v>
      </c>
      <c r="B62" s="25">
        <v>44238</v>
      </c>
      <c r="C62" s="38">
        <v>1294</v>
      </c>
      <c r="D62" s="39">
        <v>12345678971</v>
      </c>
      <c r="E62" s="40" t="s">
        <v>85</v>
      </c>
      <c r="F62" s="19">
        <v>0</v>
      </c>
      <c r="G62" s="19">
        <v>0</v>
      </c>
      <c r="H62" s="19">
        <v>0</v>
      </c>
      <c r="I62" s="19">
        <v>0</v>
      </c>
      <c r="J62" s="19">
        <v>0</v>
      </c>
      <c r="K62" s="19">
        <v>0</v>
      </c>
      <c r="L62" s="19">
        <f t="shared" si="3"/>
        <v>0</v>
      </c>
      <c r="M62" s="20">
        <f>IF(K62=0,ROUND(IF(R$3-L62*R$4-J62*R$4-I62*R$4&lt;0,0,R$3-L62*R$4-IF(L62=0,0,R$5)-J62*R$4-I62*R$4),0),K62*R64-IF(L62=0,0,R67)-L62*R64)</f>
        <v>700</v>
      </c>
      <c r="N62" s="22"/>
      <c r="O62" s="2"/>
      <c r="P62" s="2"/>
      <c r="Q62" s="2"/>
      <c r="R62" s="2"/>
    </row>
    <row r="63" spans="1:18" ht="24.95" customHeight="1" x14ac:dyDescent="0.25">
      <c r="A63" s="24">
        <v>62</v>
      </c>
      <c r="B63" s="25">
        <v>44477</v>
      </c>
      <c r="C63" s="28">
        <v>1295</v>
      </c>
      <c r="D63" s="26">
        <v>12345678972</v>
      </c>
      <c r="E63" s="41" t="s">
        <v>86</v>
      </c>
      <c r="F63" s="19">
        <v>0</v>
      </c>
      <c r="G63" s="19">
        <v>0</v>
      </c>
      <c r="H63" s="19">
        <v>0</v>
      </c>
      <c r="I63" s="19">
        <v>0</v>
      </c>
      <c r="J63" s="19">
        <v>0</v>
      </c>
      <c r="K63" s="19">
        <v>0</v>
      </c>
      <c r="L63" s="19">
        <f t="shared" si="3"/>
        <v>0</v>
      </c>
      <c r="M63" s="20">
        <f>IF(K63=0,ROUND(IF(R$3-L63*R$4-J63*R$4-I63*R$4&lt;0,0,R$3-L63*R$4-IF(L63=0,0,R$5)-J63*R$4-I63*R$4),0),K63*R67-IF(L63=0,0,#REF!)-L63*R67)</f>
        <v>700</v>
      </c>
      <c r="N63" s="22"/>
      <c r="O63" s="2"/>
      <c r="P63" s="2"/>
      <c r="Q63" s="2"/>
      <c r="R63" s="2"/>
    </row>
    <row r="64" spans="1:18" ht="24.95" customHeight="1" x14ac:dyDescent="0.25">
      <c r="A64" s="24">
        <v>63</v>
      </c>
      <c r="B64" s="27">
        <v>44238</v>
      </c>
      <c r="C64" s="38">
        <v>1296</v>
      </c>
      <c r="D64" s="39">
        <v>12345678973</v>
      </c>
      <c r="E64" s="40" t="s">
        <v>87</v>
      </c>
      <c r="F64" s="19">
        <v>0</v>
      </c>
      <c r="G64" s="19">
        <v>0</v>
      </c>
      <c r="H64" s="19">
        <v>0</v>
      </c>
      <c r="I64" s="19">
        <v>0</v>
      </c>
      <c r="J64" s="19">
        <v>0</v>
      </c>
      <c r="K64" s="19">
        <v>0</v>
      </c>
      <c r="L64" s="19">
        <f t="shared" si="3"/>
        <v>0</v>
      </c>
      <c r="M64" s="20">
        <f>IF(K64=0,ROUND(IF(R$3-L64*R$4-J64*R$4-I64*R$4&lt;0,0,R$3-L64*R$4-IF(L64=0,0,R$5)-J64*R$4-I64*R$4),0),K64*#REF!-IF(L64=0,0,#REF!)-L64*#REF!)</f>
        <v>700</v>
      </c>
      <c r="N64" s="22"/>
      <c r="O64" s="2"/>
      <c r="P64" s="2"/>
      <c r="Q64" s="2"/>
      <c r="R64" s="2"/>
    </row>
    <row r="65" spans="1:18" ht="24.95" customHeight="1" x14ac:dyDescent="0.25">
      <c r="A65" s="24"/>
      <c r="B65" s="27">
        <v>45569</v>
      </c>
      <c r="C65" s="28">
        <v>1297</v>
      </c>
      <c r="D65" s="26">
        <v>12345678974</v>
      </c>
      <c r="E65" s="41" t="s">
        <v>88</v>
      </c>
      <c r="F65" s="19">
        <v>0</v>
      </c>
      <c r="G65" s="19">
        <v>0</v>
      </c>
      <c r="H65" s="19">
        <v>0</v>
      </c>
      <c r="I65" s="19">
        <v>0</v>
      </c>
      <c r="J65" s="19">
        <v>0</v>
      </c>
      <c r="K65" s="19">
        <v>0</v>
      </c>
      <c r="L65" s="19">
        <f t="shared" ref="L65:L66" si="4">SUM(G65:H65)</f>
        <v>0</v>
      </c>
      <c r="M65" s="20">
        <f>IF(K65=0,ROUND(IF(R$3-L65*R$4-J65*R$4-I65*R$4&lt;0,0,R$3-L65*R$4-IF(L65=0,0,R$5)-J65*R$4-I65*R$4),0),K65*#REF!-IF(L65=0,0,#REF!)-L65*#REF!)</f>
        <v>700</v>
      </c>
      <c r="N65" s="22"/>
      <c r="O65" s="2"/>
      <c r="P65" s="2"/>
      <c r="Q65" s="2"/>
      <c r="R65" s="2"/>
    </row>
    <row r="66" spans="1:18" ht="24.95" customHeight="1" x14ac:dyDescent="0.25">
      <c r="A66" s="24"/>
      <c r="B66" s="27">
        <v>45562</v>
      </c>
      <c r="C66" s="38">
        <v>1298</v>
      </c>
      <c r="D66" s="39">
        <v>12345678975</v>
      </c>
      <c r="E66" s="40" t="s">
        <v>89</v>
      </c>
      <c r="F66" s="19">
        <v>0</v>
      </c>
      <c r="G66" s="19">
        <v>0</v>
      </c>
      <c r="H66" s="19">
        <v>0</v>
      </c>
      <c r="I66" s="19">
        <v>0</v>
      </c>
      <c r="J66" s="19">
        <v>0</v>
      </c>
      <c r="K66" s="19">
        <v>0</v>
      </c>
      <c r="L66" s="19">
        <f t="shared" si="4"/>
        <v>0</v>
      </c>
      <c r="M66" s="20">
        <f>IF(K66=0,ROUND(IF(R$3-L66*R$4-J66*R$4-I66*R$4&lt;0,0,R$3-L66*R$4-IF(L66=0,0,R$5)-J66*R$4-I66*R$4),0),K66*#REF!-IF(L66=0,0,#REF!)-L66*#REF!)</f>
        <v>700</v>
      </c>
      <c r="N66" s="22"/>
      <c r="O66" s="2"/>
      <c r="P66" s="2"/>
      <c r="Q66" s="2"/>
      <c r="R66" s="2"/>
    </row>
    <row r="67" spans="1:18" ht="24.95" customHeight="1" x14ac:dyDescent="0.25">
      <c r="A67" s="24">
        <v>64</v>
      </c>
      <c r="B67" s="25">
        <v>44238</v>
      </c>
      <c r="C67" s="28">
        <v>1299</v>
      </c>
      <c r="D67" s="26">
        <v>12345678976</v>
      </c>
      <c r="E67" s="41" t="s">
        <v>90</v>
      </c>
      <c r="F67" s="19">
        <v>0</v>
      </c>
      <c r="G67" s="19">
        <v>0</v>
      </c>
      <c r="H67" s="19">
        <v>0</v>
      </c>
      <c r="I67" s="19">
        <v>0</v>
      </c>
      <c r="J67" s="19">
        <v>0</v>
      </c>
      <c r="K67" s="19">
        <v>0</v>
      </c>
      <c r="L67" s="19">
        <f t="shared" si="3"/>
        <v>0</v>
      </c>
      <c r="M67" s="20">
        <f>IF(K67=0,ROUND(IF(R$3-L67*R$4-J67*R$4-I67*R$4&lt;0,0,R$3-L67*R$4-IF(L67=0,0,R$5)-J67*R$4-I67*R$4),0),K67*#REF!-IF(L67=0,0,R68)-L67*#REF!)</f>
        <v>700</v>
      </c>
      <c r="N67" s="22"/>
      <c r="O67" s="2"/>
      <c r="P67" s="2"/>
      <c r="Q67" s="2"/>
      <c r="R67" s="2"/>
    </row>
    <row r="68" spans="1:18" ht="24.95" customHeight="1" x14ac:dyDescent="0.25">
      <c r="A68" s="31"/>
      <c r="B68" s="32"/>
      <c r="C68" s="33"/>
      <c r="D68" s="33"/>
      <c r="E68" s="34"/>
      <c r="F68" s="15"/>
      <c r="G68" s="16"/>
      <c r="H68" s="16"/>
      <c r="I68" s="16"/>
      <c r="J68" s="16"/>
      <c r="K68" s="16"/>
      <c r="L68" s="17"/>
      <c r="M68" s="18">
        <f>SUM(M2:M67)</f>
        <v>44240</v>
      </c>
      <c r="N68" s="16"/>
      <c r="O68" s="2"/>
      <c r="P68" s="2"/>
      <c r="Q68" s="2"/>
      <c r="R68" s="2"/>
    </row>
    <row r="69" spans="1:18" x14ac:dyDescent="0.25">
      <c r="C69" s="1"/>
    </row>
  </sheetData>
  <phoneticPr fontId="10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58" r:id="rId4" name="CommandButton2">
          <controlPr defaultSize="0" autoLine="0" r:id="rId5">
            <anchor moveWithCells="1">
              <from>
                <xdr:col>16</xdr:col>
                <xdr:colOff>1838325</xdr:colOff>
                <xdr:row>14</xdr:row>
                <xdr:rowOff>123825</xdr:rowOff>
              </from>
              <to>
                <xdr:col>17</xdr:col>
                <xdr:colOff>1295400</xdr:colOff>
                <xdr:row>17</xdr:row>
                <xdr:rowOff>95250</xdr:rowOff>
              </to>
            </anchor>
          </controlPr>
        </control>
      </mc:Choice>
      <mc:Fallback>
        <control shapeId="6158" r:id="rId4" name="CommandButton2"/>
      </mc:Fallback>
    </mc:AlternateContent>
    <mc:AlternateContent xmlns:mc="http://schemas.openxmlformats.org/markup-compatibility/2006">
      <mc:Choice Requires="x14">
        <control shapeId="6157" r:id="rId6" name="CommandButton3">
          <controlPr defaultSize="0" autoLine="0" r:id="rId7">
            <anchor moveWithCells="1">
              <from>
                <xdr:col>15</xdr:col>
                <xdr:colOff>552450</xdr:colOff>
                <xdr:row>8</xdr:row>
                <xdr:rowOff>38100</xdr:rowOff>
              </from>
              <to>
                <xdr:col>16</xdr:col>
                <xdr:colOff>1552575</xdr:colOff>
                <xdr:row>11</xdr:row>
                <xdr:rowOff>57150</xdr:rowOff>
              </to>
            </anchor>
          </controlPr>
        </control>
      </mc:Choice>
      <mc:Fallback>
        <control shapeId="6157" r:id="rId6" name="CommandButton3"/>
      </mc:Fallback>
    </mc:AlternateContent>
    <mc:AlternateContent xmlns:mc="http://schemas.openxmlformats.org/markup-compatibility/2006">
      <mc:Choice Requires="x14">
        <control shapeId="6149" r:id="rId8" name="CommandButton1">
          <controlPr defaultSize="0" autoLine="0" r:id="rId9">
            <anchor moveWithCells="1">
              <from>
                <xdr:col>16</xdr:col>
                <xdr:colOff>1847850</xdr:colOff>
                <xdr:row>8</xdr:row>
                <xdr:rowOff>38100</xdr:rowOff>
              </from>
              <to>
                <xdr:col>17</xdr:col>
                <xdr:colOff>1266825</xdr:colOff>
                <xdr:row>11</xdr:row>
                <xdr:rowOff>57150</xdr:rowOff>
              </to>
            </anchor>
          </controlPr>
        </control>
      </mc:Choice>
      <mc:Fallback>
        <control shapeId="6149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CONTROLE_BENEFÍCIOS</vt:lpstr>
      <vt:lpstr>NOMEFUNC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 Faturamento</dc:creator>
  <cp:lastModifiedBy>Wagner</cp:lastModifiedBy>
  <cp:lastPrinted>2024-08-23T12:39:04Z</cp:lastPrinted>
  <dcterms:created xsi:type="dcterms:W3CDTF">2024-08-21T12:16:18Z</dcterms:created>
  <dcterms:modified xsi:type="dcterms:W3CDTF">2024-11-13T18:01:25Z</dcterms:modified>
</cp:coreProperties>
</file>